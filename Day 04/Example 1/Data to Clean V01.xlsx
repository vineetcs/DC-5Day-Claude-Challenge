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24226"/>
  <xr:revisionPtr revIDLastSave="1461" documentId="13_ncr:1_{0795DCEB-143E-44FF-B0FD-79D45E6983DF}" xr6:coauthVersionLast="47" xr6:coauthVersionMax="47" xr10:uidLastSave="{AACBC01E-4B7E-4EA2-9853-EDC6DD5632E0}"/>
  <bookViews>
    <workbookView xWindow="30612" yWindow="4644" windowWidth="23256" windowHeight="12456" xr2:uid="{00000000-000D-0000-FFFF-FFFF00000000}"/>
  </bookViews>
  <sheets>
    <sheet name="Data" sheetId="8" r:id="rId1"/>
  </sheets>
  <definedNames>
    <definedName name="_xlnm._FilterDatabase" localSheetId="0" hidden="1">Data!$A$10:$L$218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6" i="8"/>
</calcChain>
</file>

<file path=xl/sharedStrings.xml><?xml version="1.0" encoding="utf-8"?>
<sst xmlns="http://schemas.openxmlformats.org/spreadsheetml/2006/main" count="842" uniqueCount="133">
  <si>
    <t>Product</t>
  </si>
  <si>
    <t>Cost</t>
  </si>
  <si>
    <t>Sale</t>
  </si>
  <si>
    <t>330 ml</t>
  </si>
  <si>
    <t>Partner C-Top</t>
  </si>
  <si>
    <t>1L Reg-12</t>
  </si>
  <si>
    <t>200 ml-24</t>
  </si>
  <si>
    <t>450 L-Mint</t>
  </si>
  <si>
    <t>450 Lemon</t>
  </si>
  <si>
    <t>Lemon 500</t>
  </si>
  <si>
    <t>4L Gallon</t>
  </si>
  <si>
    <t>1L Reg-2</t>
  </si>
  <si>
    <t>Gallon</t>
  </si>
  <si>
    <t>450 Reg</t>
  </si>
  <si>
    <t>Partner H&amp;C</t>
  </si>
  <si>
    <t>StrawB 500</t>
  </si>
  <si>
    <t>Hot &amp; Cold</t>
  </si>
  <si>
    <t>Location</t>
  </si>
  <si>
    <t>Abu Dhabi, UAE</t>
  </si>
  <si>
    <t>Dubai, UAE</t>
  </si>
  <si>
    <t>Delhi, India</t>
  </si>
  <si>
    <t>Mumbai, India</t>
  </si>
  <si>
    <t>Invoice Date</t>
  </si>
  <si>
    <t>New York, USA</t>
  </si>
  <si>
    <t>London, UK</t>
  </si>
  <si>
    <t>Toronto, Canada</t>
  </si>
  <si>
    <t>Los Angeles, USA</t>
  </si>
  <si>
    <t>Customer Details</t>
  </si>
  <si>
    <t>Manager|Salesman</t>
  </si>
  <si>
    <t>Nijoe|Kabir</t>
  </si>
  <si>
    <t>Nijoe|Rehmat</t>
  </si>
  <si>
    <t>Nijoe|Shibhu</t>
  </si>
  <si>
    <t>Nijoe|Siddique</t>
  </si>
  <si>
    <t>Nijoe|Winnie</t>
  </si>
  <si>
    <t>Nijoe|Yosuf</t>
  </si>
  <si>
    <t>Oliver|Harry</t>
  </si>
  <si>
    <t>Michael|Tyler</t>
  </si>
  <si>
    <t>Michael|Madison</t>
  </si>
  <si>
    <t>Michael|Dylan</t>
  </si>
  <si>
    <t>Qaseem|Iqbal</t>
  </si>
  <si>
    <t>Qaseem|Kurien</t>
  </si>
  <si>
    <t>Qaseem|Nazeer</t>
  </si>
  <si>
    <t>Qaseem|Roman</t>
  </si>
  <si>
    <t>Rajiv|Hussain</t>
  </si>
  <si>
    <t>Rajiv|Riaz</t>
  </si>
  <si>
    <t>Rajiv|Saeed</t>
  </si>
  <si>
    <t>Rajiv|Sathish</t>
  </si>
  <si>
    <t>Rajiv|Vinod</t>
  </si>
  <si>
    <t>Jennifer|Kevin</t>
  </si>
  <si>
    <t>Jennifer|Diana</t>
  </si>
  <si>
    <t>Oliver|Charlotte</t>
  </si>
  <si>
    <t>Kapil|Bilal</t>
  </si>
  <si>
    <t>Kapil|Latifa</t>
  </si>
  <si>
    <t>Kapil|RajKumar</t>
  </si>
  <si>
    <t>Ryan|Liam</t>
  </si>
  <si>
    <t>Ryan|Sophie</t>
  </si>
  <si>
    <t>Ryan|Ethan</t>
  </si>
  <si>
    <t>Jennifer|Madison</t>
  </si>
  <si>
    <t>Rajiv|Cleo</t>
  </si>
  <si>
    <t>Rajiv|Naeem</t>
  </si>
  <si>
    <t>Rajiv|Neeraj</t>
  </si>
  <si>
    <t>Rajiv|Alve</t>
  </si>
  <si>
    <t>Michael|Brittany</t>
  </si>
  <si>
    <t>Rajiv|Brenda</t>
  </si>
  <si>
    <t>Ryan|Chloe</t>
  </si>
  <si>
    <t>Qaseem|Ibrahim</t>
  </si>
  <si>
    <t>Kapil|Abdullah</t>
  </si>
  <si>
    <t>Rajiv|Sunny</t>
  </si>
  <si>
    <t>January 2025</t>
  </si>
  <si>
    <t>February 2025</t>
  </si>
  <si>
    <t>SALES TRANSACTIONS — ERP EXPORT</t>
  </si>
  <si>
    <t>System-generated extract for reporting and analysis</t>
  </si>
  <si>
    <t>Source System</t>
  </si>
  <si>
    <t>Report Name</t>
  </si>
  <si>
    <t>Transaction Period</t>
  </si>
  <si>
    <t>Export Date</t>
  </si>
  <si>
    <t>Record Count</t>
  </si>
  <si>
    <t>ERP System</t>
  </si>
  <si>
    <t>Sales Transactions Export</t>
  </si>
  <si>
    <t>17 August 2026, 09:00 GMT+04:00</t>
  </si>
  <si>
    <t>Supermarkets:Families Co</t>
  </si>
  <si>
    <t>Supermarkets:E-Mart</t>
  </si>
  <si>
    <t>Hotels:York Intl</t>
  </si>
  <si>
    <t>Supermarkets:Aswaaq</t>
  </si>
  <si>
    <t>Supermarkets:Sunrise</t>
  </si>
  <si>
    <t>Supermarkets:Tesco Metro</t>
  </si>
  <si>
    <t>Supermarkets:Whole Foods</t>
  </si>
  <si>
    <t>Supermarkets:Walmart</t>
  </si>
  <si>
    <t>Supermarkets:Target</t>
  </si>
  <si>
    <t>Supermarkets:Madinath</t>
  </si>
  <si>
    <t>Hypermarkets:Al-Ain CoOp</t>
  </si>
  <si>
    <t>Hypermarkets:Hyper Panda</t>
  </si>
  <si>
    <t>Supermarkets:Westzone</t>
  </si>
  <si>
    <t>Supermarkets:Jyothis</t>
  </si>
  <si>
    <t>Supermarkets:Al Maya SM</t>
  </si>
  <si>
    <t>Supermarkets:Talal</t>
  </si>
  <si>
    <t>Supermarkets:National SM</t>
  </si>
  <si>
    <t>Supermarkets:K.M Trading</t>
  </si>
  <si>
    <t>Hypermarkets:Ansar Mall</t>
  </si>
  <si>
    <t>Supermarkets:KM Trading</t>
  </si>
  <si>
    <t>Hotels:Smart &amp; Final</t>
  </si>
  <si>
    <t>Supermarkets:Trader Joes</t>
  </si>
  <si>
    <t>Supermarkets:Vons Market</t>
  </si>
  <si>
    <t>Supermarkets:Ralphs SM</t>
  </si>
  <si>
    <t>Supermarkets:Sainsburys</t>
  </si>
  <si>
    <t>Supermarkets:City Group</t>
  </si>
  <si>
    <t>Supermarkets:Mars Intl</t>
  </si>
  <si>
    <t>Hypermarkets:Army Coop</t>
  </si>
  <si>
    <t>Supermarkets:Alam SM</t>
  </si>
  <si>
    <t>Supermarkets:Choitram</t>
  </si>
  <si>
    <t>Supermarkets:Union Co-Op</t>
  </si>
  <si>
    <t>Supermarkets:Loblaws</t>
  </si>
  <si>
    <t>Hypermarkets:Sobeys</t>
  </si>
  <si>
    <t>Hotels:Metro Mkt</t>
  </si>
  <si>
    <t>Groceries:Trader Joes</t>
  </si>
  <si>
    <t>Supermarkets:Al Ahli</t>
  </si>
  <si>
    <t>Supermarkets:Spinneys</t>
  </si>
  <si>
    <t>Supermarkets:Waitrose Dubai</t>
  </si>
  <si>
    <t>Supermarkets:Costco</t>
  </si>
  <si>
    <t>Groceries:Ayoob</t>
  </si>
  <si>
    <t>Supermarkets:Fairmont Hotel</t>
  </si>
  <si>
    <t>Supermarkets:Malabar</t>
  </si>
  <si>
    <t>Hotels:Costco</t>
  </si>
  <si>
    <t>Supermarkets:Grand Mart</t>
  </si>
  <si>
    <t>Hypermarkets:United Hyp</t>
  </si>
  <si>
    <t>Supermarkets:S-Mart</t>
  </si>
  <si>
    <t>Supermarkets:Emarat</t>
  </si>
  <si>
    <t>Hotels:Rayhan</t>
  </si>
  <si>
    <t>Supermarkets:Al Madina</t>
  </si>
  <si>
    <t>Hotels:Admiral</t>
  </si>
  <si>
    <t>Supermarkets:Shuaa</t>
  </si>
  <si>
    <t>Supermarkets:Moon Light</t>
  </si>
  <si>
    <t>Supermarkets:Happy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</si>
</sst>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2A4A"/>
      <name val="Arial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i/>
      <sz val="10"/>
      <color rgb="FF555555"/>
      <name val="Calibri"/>
      <family val="2"/>
      <scheme val="minor"/>
    </font>
    <font>
      <sz val="10"/>
      <color rgb="FF222222"/>
      <name val="Trebuchet MS"/>
      <family val="2"/>
    </font>
    <font>
      <b/>
      <sz val="12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9"/>
      <color rgb="FF17365D"/>
      <name val="Arial"/>
      <family val="2"/>
    </font>
    <font>
      <b/>
      <sz val="9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3" fontId="8" fillId="0" borderId="2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10" fillId="0" borderId="0" xfId="0" applyFont="1"/>
    <xf numFmtId="0" fontId="11" fillId="3" borderId="0" xfId="0" applyFont="1" applyFill="1"/>
    <xf numFmtId="0" fontId="11" fillId="3" borderId="2" xfId="0" applyFont="1" applyFill="1" applyBorder="1"/>
    <xf numFmtId="49" fontId="12" fillId="3" borderId="0" xfId="0" applyNumberFormat="1" applyFont="1" applyFill="1" applyAlignment="1">
      <alignment horizontal="left" vertical="center"/>
    </xf>
    <xf numFmtId="0" fontId="7" fillId="3" borderId="0" xfId="0" applyFont="1" applyFill="1"/>
    <xf numFmtId="0" fontId="13" fillId="0" borderId="0" xfId="0" applyFont="1" applyAlignment="1">
      <alignment vertical="center"/>
    </xf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93B06F-EF20-4B39-B7EE-3499F69062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6c54f5-d51b-452b-b5d0-3f542ca0423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1BA0601-38CB-446D-AE1D-A920A34E169C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218"/>
  <sheetViews>
    <sheetView tabSelected="1" zoomScale="90" zoomScaleNormal="90" workbookViewId="0"/>
  </sheetViews>
  <sheetFormatPr defaultColWidth="9.15234375" defaultRowHeight="14.6" x14ac:dyDescent="0.4"/>
  <cols>
    <col min="1" max="1" width="23.53515625" style="17" customWidth="1"/>
    <col min="2" max="2" width="36.4609375" style="2" customWidth="1"/>
    <col min="3" max="4" width="2" customWidth="1"/>
    <col min="5" max="5" width="19.15234375" style="1" customWidth="1"/>
    <col min="6" max="6" width="2" customWidth="1"/>
    <col min="7" max="7" width="24.23046875" style="1" bestFit="1" customWidth="1"/>
    <col min="8" max="8" width="2" customWidth="1"/>
    <col min="9" max="9" width="13.53515625" style="2" customWidth="1"/>
    <col min="10" max="10" width="2" customWidth="1"/>
    <col min="11" max="12" width="12.53515625" style="1" customWidth="1"/>
    <col min="13" max="16384" width="9.15234375" style="1"/>
  </cols>
  <sheetData>
    <row r="1" spans="1:12" ht="32.15" customHeight="1" x14ac:dyDescent="0.35">
      <c r="A1" s="22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149999999999999" customHeight="1" x14ac:dyDescent="0.35">
      <c r="A2" s="21" t="s">
        <v>71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0.149999999999999" customHeight="1" x14ac:dyDescent="0.4"/>
    <row r="4" spans="1:12" ht="20.149999999999999" customHeight="1" x14ac:dyDescent="0.4">
      <c r="A4" s="18" t="s">
        <v>72</v>
      </c>
      <c r="B4" s="9" t="s">
        <v>77</v>
      </c>
    </row>
    <row r="5" spans="1:12" ht="20.149999999999999" customHeight="1" x14ac:dyDescent="0.4">
      <c r="A5" s="18" t="s">
        <v>73</v>
      </c>
      <c r="B5" s="9" t="s">
        <v>78</v>
      </c>
    </row>
    <row r="6" spans="1:12" ht="20.149999999999999" customHeight="1" x14ac:dyDescent="0.4">
      <c r="A6" s="18" t="s">
        <v>74</v>
      </c>
      <c r="B6" s="9" t="str">
        <f>TEXT(MIN(A10:A218),"mmmm yyyy")&amp;" to "&amp;TEXT(MAX(A10:A218),"mmmm yyyy")</f>
        <v>January 2025 to February 2025</v>
      </c>
    </row>
    <row r="7" spans="1:12" ht="20.149999999999999" customHeight="1" x14ac:dyDescent="0.4">
      <c r="A7" s="18" t="s">
        <v>75</v>
      </c>
      <c r="B7" s="9" t="s">
        <v>79</v>
      </c>
    </row>
    <row r="8" spans="1:12" ht="20.149999999999999" customHeight="1" x14ac:dyDescent="0.4">
      <c r="A8" s="19" t="s">
        <v>76</v>
      </c>
      <c r="B8" s="10">
        <f>COUNTA(K:K)-COUNTIF(K:K,#REF!)</f>
        <v>206</v>
      </c>
    </row>
    <row r="10" spans="1:12" ht="22" customHeight="1" x14ac:dyDescent="0.35">
      <c r="A10" s="20" t="s">
        <v>68</v>
      </c>
      <c r="B10" s="15"/>
      <c r="C10" s="15"/>
      <c r="D10" s="15"/>
      <c r="E10" s="16"/>
      <c r="F10" s="16"/>
      <c r="G10" s="16"/>
      <c r="H10" s="15"/>
      <c r="I10" s="15"/>
      <c r="J10" s="15"/>
      <c r="K10" s="15"/>
      <c r="L10" s="15"/>
    </row>
    <row r="11" spans="1:12" x14ac:dyDescent="0.4">
      <c r="A11" s="6" t="s">
        <v>22</v>
      </c>
      <c r="B11" s="3" t="s">
        <v>17</v>
      </c>
      <c r="E11" s="13" t="s">
        <v>28</v>
      </c>
      <c r="G11" s="13" t="s">
        <v>27</v>
      </c>
      <c r="I11" s="11" t="s">
        <v>0</v>
      </c>
      <c r="K11" s="3" t="s">
        <v>2</v>
      </c>
      <c r="L11" s="3" t="s">
        <v>1</v>
      </c>
    </row>
    <row r="12" spans="1:12" x14ac:dyDescent="0.4">
      <c r="A12" s="7">
        <v>45688</v>
      </c>
      <c r="B12" s="4" t="s">
        <v>18</v>
      </c>
      <c r="E12" s="14" t="s">
        <v>29</v>
      </c>
      <c r="G12" s="14" t="s">
        <v>80</v>
      </c>
      <c r="I12" s="12" t="s">
        <v>6</v>
      </c>
      <c r="K12" s="5">
        <v>11220</v>
      </c>
      <c r="L12" s="5">
        <v>3759</v>
      </c>
    </row>
    <row r="13" spans="1:12" x14ac:dyDescent="0.4">
      <c r="A13" s="7">
        <v>45688</v>
      </c>
      <c r="B13" s="4" t="s">
        <v>18</v>
      </c>
      <c r="E13" s="14" t="s">
        <v>29</v>
      </c>
      <c r="G13" s="14" t="s">
        <v>80</v>
      </c>
      <c r="I13" s="12" t="s">
        <v>3</v>
      </c>
      <c r="K13" s="5">
        <v>96900</v>
      </c>
      <c r="L13" s="5">
        <v>54965</v>
      </c>
    </row>
    <row r="14" spans="1:12" x14ac:dyDescent="0.4">
      <c r="A14" s="7">
        <v>45688</v>
      </c>
      <c r="B14" s="4" t="s">
        <v>18</v>
      </c>
      <c r="E14" s="14" t="s">
        <v>29</v>
      </c>
      <c r="G14" s="14" t="s">
        <v>80</v>
      </c>
      <c r="I14" s="12" t="s">
        <v>7</v>
      </c>
      <c r="K14" s="5">
        <v>5738</v>
      </c>
      <c r="L14" s="5">
        <v>3041</v>
      </c>
    </row>
    <row r="15" spans="1:12" x14ac:dyDescent="0.4">
      <c r="A15" s="7">
        <v>45688</v>
      </c>
      <c r="B15" s="4" t="s">
        <v>18</v>
      </c>
      <c r="E15" s="14" t="s">
        <v>30</v>
      </c>
      <c r="G15" s="14" t="s">
        <v>81</v>
      </c>
      <c r="I15" s="12" t="s">
        <v>5</v>
      </c>
      <c r="K15" s="5">
        <v>8840</v>
      </c>
      <c r="L15" s="5">
        <v>7514</v>
      </c>
    </row>
    <row r="16" spans="1:12" x14ac:dyDescent="0.4">
      <c r="A16" s="7">
        <v>45688</v>
      </c>
      <c r="B16" s="4" t="s">
        <v>18</v>
      </c>
      <c r="E16" s="14" t="s">
        <v>31</v>
      </c>
      <c r="G16" s="14" t="s">
        <v>82</v>
      </c>
      <c r="I16" s="12" t="s">
        <v>5</v>
      </c>
      <c r="K16" s="5">
        <v>44200</v>
      </c>
      <c r="L16" s="5">
        <v>17238</v>
      </c>
    </row>
    <row r="17" spans="1:12" x14ac:dyDescent="0.4">
      <c r="A17" s="7">
        <v>45688</v>
      </c>
      <c r="B17" s="4" t="s">
        <v>18</v>
      </c>
      <c r="E17" s="14" t="s">
        <v>31</v>
      </c>
      <c r="G17" s="14" t="s">
        <v>82</v>
      </c>
      <c r="I17" s="12" t="s">
        <v>12</v>
      </c>
      <c r="K17" s="5">
        <v>7438</v>
      </c>
      <c r="L17" s="5">
        <v>5579</v>
      </c>
    </row>
    <row r="18" spans="1:12" x14ac:dyDescent="0.4">
      <c r="A18" s="7">
        <v>45688</v>
      </c>
      <c r="B18" s="4" t="s">
        <v>18</v>
      </c>
      <c r="E18" s="14" t="s">
        <v>32</v>
      </c>
      <c r="G18" s="14" t="s">
        <v>123</v>
      </c>
      <c r="I18" s="12" t="s">
        <v>7</v>
      </c>
      <c r="K18" s="5">
        <v>11475</v>
      </c>
      <c r="L18" s="5">
        <v>3442</v>
      </c>
    </row>
    <row r="19" spans="1:12" x14ac:dyDescent="0.4">
      <c r="A19" s="7">
        <v>45688</v>
      </c>
      <c r="B19" s="4" t="s">
        <v>18</v>
      </c>
      <c r="E19" s="14" t="s">
        <v>33</v>
      </c>
      <c r="G19" s="14" t="s">
        <v>83</v>
      </c>
      <c r="I19" s="12" t="s">
        <v>6</v>
      </c>
      <c r="K19" s="5">
        <v>86955</v>
      </c>
      <c r="L19" s="5">
        <v>48900</v>
      </c>
    </row>
    <row r="20" spans="1:12" x14ac:dyDescent="0.4">
      <c r="A20" s="7">
        <v>45688</v>
      </c>
      <c r="B20" s="4" t="s">
        <v>18</v>
      </c>
      <c r="E20" s="14" t="s">
        <v>33</v>
      </c>
      <c r="G20" s="14" t="s">
        <v>83</v>
      </c>
      <c r="I20" s="12" t="s">
        <v>7</v>
      </c>
      <c r="K20" s="5">
        <v>11475</v>
      </c>
      <c r="L20" s="5">
        <v>4016</v>
      </c>
    </row>
    <row r="21" spans="1:12" x14ac:dyDescent="0.4">
      <c r="A21" s="7">
        <v>45688</v>
      </c>
      <c r="B21" s="4" t="s">
        <v>18</v>
      </c>
      <c r="E21" s="14" t="s">
        <v>34</v>
      </c>
      <c r="G21" s="14" t="s">
        <v>130</v>
      </c>
      <c r="I21" s="12" t="s">
        <v>7</v>
      </c>
      <c r="K21" s="5">
        <v>5738</v>
      </c>
      <c r="L21" s="5">
        <v>2009</v>
      </c>
    </row>
    <row r="22" spans="1:12" x14ac:dyDescent="0.4">
      <c r="A22" s="7">
        <v>45688</v>
      </c>
      <c r="B22" s="4" t="s">
        <v>18</v>
      </c>
      <c r="E22" s="14" t="s">
        <v>34</v>
      </c>
      <c r="G22" s="14" t="s">
        <v>84</v>
      </c>
      <c r="I22" s="12" t="s">
        <v>5</v>
      </c>
      <c r="K22" s="5">
        <v>17680</v>
      </c>
      <c r="L22" s="5">
        <v>8486</v>
      </c>
    </row>
    <row r="23" spans="1:12" x14ac:dyDescent="0.4">
      <c r="A23" s="7">
        <v>45688</v>
      </c>
      <c r="B23" s="4" t="s">
        <v>18</v>
      </c>
      <c r="E23" s="14" t="s">
        <v>34</v>
      </c>
      <c r="G23" s="14" t="s">
        <v>84</v>
      </c>
      <c r="I23" s="12" t="s">
        <v>6</v>
      </c>
      <c r="K23" s="5">
        <v>11220</v>
      </c>
      <c r="L23" s="5">
        <v>5554</v>
      </c>
    </row>
    <row r="24" spans="1:12" x14ac:dyDescent="0.4">
      <c r="A24" s="7">
        <v>45688</v>
      </c>
      <c r="B24" s="4" t="s">
        <v>18</v>
      </c>
      <c r="E24" s="14" t="s">
        <v>34</v>
      </c>
      <c r="G24" s="14" t="s">
        <v>84</v>
      </c>
      <c r="I24" s="12" t="s">
        <v>3</v>
      </c>
      <c r="K24" s="5">
        <v>6375</v>
      </c>
      <c r="L24" s="5">
        <v>3570</v>
      </c>
    </row>
    <row r="25" spans="1:12" x14ac:dyDescent="0.4">
      <c r="A25" s="7">
        <v>45688</v>
      </c>
      <c r="B25" s="4" t="s">
        <v>18</v>
      </c>
      <c r="E25" s="14" t="s">
        <v>34</v>
      </c>
      <c r="G25" s="14" t="s">
        <v>84</v>
      </c>
      <c r="I25" s="12" t="s">
        <v>8</v>
      </c>
      <c r="K25" s="5">
        <v>5738</v>
      </c>
      <c r="L25" s="5">
        <v>3443</v>
      </c>
    </row>
    <row r="26" spans="1:12" x14ac:dyDescent="0.4">
      <c r="A26" s="7">
        <v>45688</v>
      </c>
      <c r="B26" s="4" t="s">
        <v>18</v>
      </c>
      <c r="E26" s="14" t="s">
        <v>34</v>
      </c>
      <c r="G26" s="14" t="s">
        <v>84</v>
      </c>
      <c r="I26" s="12" t="s">
        <v>7</v>
      </c>
      <c r="K26" s="5">
        <v>5738</v>
      </c>
      <c r="L26" s="5">
        <v>4074</v>
      </c>
    </row>
    <row r="27" spans="1:12" x14ac:dyDescent="0.4">
      <c r="A27" s="7">
        <v>45688</v>
      </c>
      <c r="B27" s="4" t="s">
        <v>18</v>
      </c>
      <c r="E27" s="14" t="s">
        <v>34</v>
      </c>
      <c r="G27" s="14" t="s">
        <v>84</v>
      </c>
      <c r="I27" s="12" t="s">
        <v>9</v>
      </c>
      <c r="K27" s="5">
        <v>26520</v>
      </c>
      <c r="L27" s="5">
        <v>13321</v>
      </c>
    </row>
    <row r="28" spans="1:12" x14ac:dyDescent="0.4">
      <c r="A28" s="7">
        <v>45688</v>
      </c>
      <c r="B28" s="4" t="s">
        <v>24</v>
      </c>
      <c r="E28" s="14" t="s">
        <v>35</v>
      </c>
      <c r="G28" s="14" t="s">
        <v>85</v>
      </c>
      <c r="I28" s="12" t="s">
        <v>7</v>
      </c>
      <c r="K28" s="5">
        <v>5738</v>
      </c>
      <c r="L28" s="5">
        <v>3787</v>
      </c>
    </row>
    <row r="29" spans="1:12" x14ac:dyDescent="0.4">
      <c r="A29" s="7">
        <v>45688</v>
      </c>
      <c r="B29" s="4" t="s">
        <v>24</v>
      </c>
      <c r="E29" s="14" t="s">
        <v>35</v>
      </c>
      <c r="G29" s="14" t="s">
        <v>85</v>
      </c>
      <c r="I29" s="12" t="s">
        <v>9</v>
      </c>
      <c r="K29" s="5">
        <v>10200</v>
      </c>
      <c r="L29" s="5">
        <v>2346</v>
      </c>
    </row>
    <row r="30" spans="1:12" x14ac:dyDescent="0.4">
      <c r="A30" s="7">
        <v>45688</v>
      </c>
      <c r="B30" s="4" t="s">
        <v>23</v>
      </c>
      <c r="E30" s="14" t="s">
        <v>36</v>
      </c>
      <c r="G30" s="14" t="s">
        <v>86</v>
      </c>
      <c r="I30" s="12" t="s">
        <v>5</v>
      </c>
      <c r="K30" s="5">
        <v>22100</v>
      </c>
      <c r="L30" s="5">
        <v>11934</v>
      </c>
    </row>
    <row r="31" spans="1:12" x14ac:dyDescent="0.4">
      <c r="A31" s="7">
        <v>45688</v>
      </c>
      <c r="B31" s="4" t="s">
        <v>23</v>
      </c>
      <c r="E31" s="14" t="s">
        <v>36</v>
      </c>
      <c r="G31" s="14" t="s">
        <v>86</v>
      </c>
      <c r="I31" s="12" t="s">
        <v>7</v>
      </c>
      <c r="K31" s="5">
        <v>11475</v>
      </c>
      <c r="L31" s="5">
        <v>3270</v>
      </c>
    </row>
    <row r="32" spans="1:12" x14ac:dyDescent="0.4">
      <c r="A32" s="7">
        <v>45688</v>
      </c>
      <c r="B32" s="4" t="s">
        <v>23</v>
      </c>
      <c r="E32" s="14" t="s">
        <v>36</v>
      </c>
      <c r="G32" s="14" t="s">
        <v>86</v>
      </c>
      <c r="I32" s="12" t="s">
        <v>4</v>
      </c>
      <c r="K32" s="5">
        <v>771375</v>
      </c>
      <c r="L32" s="5">
        <v>322481</v>
      </c>
    </row>
    <row r="33" spans="1:12" x14ac:dyDescent="0.4">
      <c r="A33" s="7">
        <v>45688</v>
      </c>
      <c r="B33" s="4" t="s">
        <v>23</v>
      </c>
      <c r="E33" s="14" t="s">
        <v>38</v>
      </c>
      <c r="G33" s="14" t="s">
        <v>88</v>
      </c>
      <c r="I33" s="12" t="s">
        <v>5</v>
      </c>
      <c r="K33" s="5">
        <v>22100</v>
      </c>
      <c r="L33" s="5">
        <v>9282</v>
      </c>
    </row>
    <row r="34" spans="1:12" x14ac:dyDescent="0.4">
      <c r="A34" s="7">
        <v>45688</v>
      </c>
      <c r="B34" s="4" t="s">
        <v>23</v>
      </c>
      <c r="E34" s="14" t="s">
        <v>38</v>
      </c>
      <c r="G34" s="14" t="s">
        <v>88</v>
      </c>
      <c r="I34" s="12" t="s">
        <v>11</v>
      </c>
      <c r="K34" s="5">
        <v>17850</v>
      </c>
      <c r="L34" s="5">
        <v>8865</v>
      </c>
    </row>
    <row r="35" spans="1:12" x14ac:dyDescent="0.4">
      <c r="A35" s="7">
        <v>45688</v>
      </c>
      <c r="B35" s="4" t="s">
        <v>23</v>
      </c>
      <c r="E35" s="14" t="s">
        <v>38</v>
      </c>
      <c r="G35" s="14" t="s">
        <v>88</v>
      </c>
      <c r="I35" s="12" t="s">
        <v>6</v>
      </c>
      <c r="K35" s="5">
        <v>56100</v>
      </c>
      <c r="L35" s="5">
        <v>32463</v>
      </c>
    </row>
    <row r="36" spans="1:12" x14ac:dyDescent="0.4">
      <c r="A36" s="7">
        <v>45688</v>
      </c>
      <c r="B36" s="4" t="s">
        <v>23</v>
      </c>
      <c r="E36" s="14" t="s">
        <v>38</v>
      </c>
      <c r="G36" s="14" t="s">
        <v>88</v>
      </c>
      <c r="I36" s="12" t="s">
        <v>7</v>
      </c>
      <c r="K36" s="5">
        <v>41310</v>
      </c>
      <c r="L36" s="5">
        <v>19324</v>
      </c>
    </row>
    <row r="37" spans="1:12" x14ac:dyDescent="0.4">
      <c r="A37" s="7">
        <v>45688</v>
      </c>
      <c r="B37" s="4" t="s">
        <v>23</v>
      </c>
      <c r="E37" s="14" t="s">
        <v>38</v>
      </c>
      <c r="G37" s="14" t="s">
        <v>88</v>
      </c>
      <c r="I37" s="12" t="s">
        <v>10</v>
      </c>
      <c r="K37" s="5">
        <v>12750</v>
      </c>
      <c r="L37" s="5">
        <v>6439</v>
      </c>
    </row>
    <row r="38" spans="1:12" x14ac:dyDescent="0.4">
      <c r="A38" s="7">
        <v>45688</v>
      </c>
      <c r="B38" s="4" t="s">
        <v>23</v>
      </c>
      <c r="E38" s="14" t="s">
        <v>38</v>
      </c>
      <c r="G38" s="14" t="s">
        <v>88</v>
      </c>
      <c r="I38" s="12" t="s">
        <v>9</v>
      </c>
      <c r="K38" s="5">
        <v>18360</v>
      </c>
      <c r="L38" s="5">
        <v>11138</v>
      </c>
    </row>
    <row r="39" spans="1:12" x14ac:dyDescent="0.4">
      <c r="A39" s="7">
        <v>45688</v>
      </c>
      <c r="B39" s="4" t="s">
        <v>20</v>
      </c>
      <c r="E39" s="14" t="s">
        <v>65</v>
      </c>
      <c r="G39" s="14" t="s">
        <v>95</v>
      </c>
      <c r="I39" s="12" t="s">
        <v>7</v>
      </c>
      <c r="K39" s="5">
        <v>11475</v>
      </c>
      <c r="L39" s="5">
        <v>7688</v>
      </c>
    </row>
    <row r="40" spans="1:12" x14ac:dyDescent="0.4">
      <c r="A40" s="7">
        <v>45688</v>
      </c>
      <c r="B40" s="4" t="s">
        <v>20</v>
      </c>
      <c r="E40" s="14" t="s">
        <v>39</v>
      </c>
      <c r="G40" s="14" t="s">
        <v>89</v>
      </c>
      <c r="I40" s="12" t="s">
        <v>6</v>
      </c>
      <c r="K40" s="5">
        <v>66385</v>
      </c>
      <c r="L40" s="5">
        <v>32762</v>
      </c>
    </row>
    <row r="41" spans="1:12" x14ac:dyDescent="0.4">
      <c r="A41" s="7">
        <v>45688</v>
      </c>
      <c r="B41" s="4" t="s">
        <v>20</v>
      </c>
      <c r="E41" s="14" t="s">
        <v>40</v>
      </c>
      <c r="G41" s="14" t="s">
        <v>90</v>
      </c>
      <c r="I41" s="12" t="s">
        <v>7</v>
      </c>
      <c r="K41" s="5">
        <v>52785</v>
      </c>
      <c r="L41" s="5">
        <v>22824</v>
      </c>
    </row>
    <row r="42" spans="1:12" x14ac:dyDescent="0.4">
      <c r="A42" s="7">
        <v>45688</v>
      </c>
      <c r="B42" s="4" t="s">
        <v>20</v>
      </c>
      <c r="E42" s="14" t="s">
        <v>40</v>
      </c>
      <c r="G42" s="14" t="s">
        <v>90</v>
      </c>
      <c r="I42" s="12" t="s">
        <v>9</v>
      </c>
      <c r="K42" s="5">
        <v>39780</v>
      </c>
      <c r="L42" s="5">
        <v>18799</v>
      </c>
    </row>
    <row r="43" spans="1:12" x14ac:dyDescent="0.4">
      <c r="A43" s="7">
        <v>45688</v>
      </c>
      <c r="B43" s="4" t="s">
        <v>20</v>
      </c>
      <c r="E43" s="14" t="s">
        <v>40</v>
      </c>
      <c r="G43" s="14" t="s">
        <v>91</v>
      </c>
      <c r="I43" s="12" t="s">
        <v>11</v>
      </c>
      <c r="K43" s="5">
        <v>28560</v>
      </c>
      <c r="L43" s="5">
        <v>14625</v>
      </c>
    </row>
    <row r="44" spans="1:12" x14ac:dyDescent="0.4">
      <c r="A44" s="7">
        <v>45688</v>
      </c>
      <c r="B44" s="4" t="s">
        <v>20</v>
      </c>
      <c r="E44" s="14" t="s">
        <v>41</v>
      </c>
      <c r="G44" s="14" t="s">
        <v>124</v>
      </c>
      <c r="I44" s="12" t="s">
        <v>6</v>
      </c>
      <c r="K44" s="5">
        <v>18700</v>
      </c>
      <c r="L44" s="5">
        <v>9817</v>
      </c>
    </row>
    <row r="45" spans="1:12" x14ac:dyDescent="0.4">
      <c r="A45" s="7">
        <v>45688</v>
      </c>
      <c r="B45" s="4" t="s">
        <v>20</v>
      </c>
      <c r="E45" s="14" t="s">
        <v>41</v>
      </c>
      <c r="G45" s="14" t="s">
        <v>124</v>
      </c>
      <c r="I45" s="12" t="s">
        <v>3</v>
      </c>
      <c r="K45" s="5">
        <v>6375</v>
      </c>
      <c r="L45" s="5">
        <v>3060</v>
      </c>
    </row>
    <row r="46" spans="1:12" x14ac:dyDescent="0.4">
      <c r="A46" s="7">
        <v>45688</v>
      </c>
      <c r="B46" s="4" t="s">
        <v>20</v>
      </c>
      <c r="E46" s="14" t="s">
        <v>41</v>
      </c>
      <c r="G46" s="14" t="s">
        <v>124</v>
      </c>
      <c r="I46" s="12" t="s">
        <v>8</v>
      </c>
      <c r="K46" s="5">
        <v>5738</v>
      </c>
      <c r="L46" s="5">
        <v>2295</v>
      </c>
    </row>
    <row r="47" spans="1:12" x14ac:dyDescent="0.4">
      <c r="A47" s="7">
        <v>45688</v>
      </c>
      <c r="B47" s="4" t="s">
        <v>20</v>
      </c>
      <c r="E47" s="14" t="s">
        <v>41</v>
      </c>
      <c r="G47" s="14" t="s">
        <v>124</v>
      </c>
      <c r="I47" s="12" t="s">
        <v>7</v>
      </c>
      <c r="K47" s="5">
        <v>45900</v>
      </c>
      <c r="L47" s="5">
        <v>21802</v>
      </c>
    </row>
    <row r="48" spans="1:12" x14ac:dyDescent="0.4">
      <c r="A48" s="7">
        <v>45688</v>
      </c>
      <c r="B48" s="4" t="s">
        <v>20</v>
      </c>
      <c r="E48" s="14" t="s">
        <v>41</v>
      </c>
      <c r="G48" s="14" t="s">
        <v>124</v>
      </c>
      <c r="I48" s="12" t="s">
        <v>9</v>
      </c>
      <c r="K48" s="5">
        <v>56100</v>
      </c>
      <c r="L48" s="5">
        <v>21522</v>
      </c>
    </row>
    <row r="49" spans="1:12" x14ac:dyDescent="0.4">
      <c r="A49" s="7">
        <v>45688</v>
      </c>
      <c r="B49" s="4" t="s">
        <v>20</v>
      </c>
      <c r="E49" s="14" t="s">
        <v>41</v>
      </c>
      <c r="G49" s="14" t="s">
        <v>92</v>
      </c>
      <c r="I49" s="12" t="s">
        <v>3</v>
      </c>
      <c r="K49" s="5">
        <v>25500</v>
      </c>
      <c r="L49" s="5">
        <v>14854</v>
      </c>
    </row>
    <row r="50" spans="1:12" x14ac:dyDescent="0.4">
      <c r="A50" s="7">
        <v>45688</v>
      </c>
      <c r="B50" s="4" t="s">
        <v>20</v>
      </c>
      <c r="E50" s="14" t="s">
        <v>41</v>
      </c>
      <c r="G50" s="14" t="s">
        <v>92</v>
      </c>
      <c r="I50" s="12" t="s">
        <v>7</v>
      </c>
      <c r="K50" s="5">
        <v>28688</v>
      </c>
      <c r="L50" s="5">
        <v>16065</v>
      </c>
    </row>
    <row r="51" spans="1:12" x14ac:dyDescent="0.4">
      <c r="A51" s="7">
        <v>45688</v>
      </c>
      <c r="B51" s="4" t="s">
        <v>20</v>
      </c>
      <c r="E51" s="14" t="s">
        <v>42</v>
      </c>
      <c r="G51" s="14" t="s">
        <v>93</v>
      </c>
      <c r="I51" s="12" t="s">
        <v>3</v>
      </c>
      <c r="K51" s="5">
        <v>26775</v>
      </c>
      <c r="L51" s="5">
        <v>17174</v>
      </c>
    </row>
    <row r="52" spans="1:12" x14ac:dyDescent="0.4">
      <c r="A52" s="7">
        <v>45688</v>
      </c>
      <c r="B52" s="4" t="s">
        <v>20</v>
      </c>
      <c r="E52" s="14" t="s">
        <v>42</v>
      </c>
      <c r="G52" s="14" t="s">
        <v>125</v>
      </c>
      <c r="I52" s="12" t="s">
        <v>7</v>
      </c>
      <c r="K52" s="5">
        <v>5738</v>
      </c>
      <c r="L52" s="5">
        <v>1722</v>
      </c>
    </row>
    <row r="53" spans="1:12" x14ac:dyDescent="0.4">
      <c r="A53" s="7">
        <v>45688</v>
      </c>
      <c r="B53" s="4" t="s">
        <v>19</v>
      </c>
      <c r="E53" s="14" t="s">
        <v>63</v>
      </c>
      <c r="G53" s="14" t="s">
        <v>119</v>
      </c>
      <c r="I53" s="12" t="s">
        <v>7</v>
      </c>
      <c r="K53" s="5">
        <v>5738</v>
      </c>
      <c r="L53" s="5">
        <v>1435</v>
      </c>
    </row>
    <row r="54" spans="1:12" x14ac:dyDescent="0.4">
      <c r="A54" s="7">
        <v>45688</v>
      </c>
      <c r="B54" s="4" t="s">
        <v>19</v>
      </c>
      <c r="E54" s="14" t="s">
        <v>43</v>
      </c>
      <c r="G54" s="14" t="s">
        <v>94</v>
      </c>
      <c r="I54" s="12" t="s">
        <v>5</v>
      </c>
      <c r="K54" s="5">
        <v>35360</v>
      </c>
      <c r="L54" s="5">
        <v>24973</v>
      </c>
    </row>
    <row r="55" spans="1:12" x14ac:dyDescent="0.4">
      <c r="A55" s="7">
        <v>45688</v>
      </c>
      <c r="B55" s="4" t="s">
        <v>19</v>
      </c>
      <c r="E55" s="14" t="s">
        <v>43</v>
      </c>
      <c r="G55" s="14" t="s">
        <v>94</v>
      </c>
      <c r="I55" s="12" t="s">
        <v>3</v>
      </c>
      <c r="K55" s="5">
        <v>31875</v>
      </c>
      <c r="L55" s="5">
        <v>20336</v>
      </c>
    </row>
    <row r="56" spans="1:12" x14ac:dyDescent="0.4">
      <c r="A56" s="7">
        <v>45688</v>
      </c>
      <c r="B56" s="4" t="s">
        <v>19</v>
      </c>
      <c r="E56" s="14" t="s">
        <v>43</v>
      </c>
      <c r="G56" s="14" t="s">
        <v>94</v>
      </c>
      <c r="I56" s="12" t="s">
        <v>8</v>
      </c>
      <c r="K56" s="5">
        <v>11475</v>
      </c>
      <c r="L56" s="5">
        <v>4647</v>
      </c>
    </row>
    <row r="57" spans="1:12" x14ac:dyDescent="0.4">
      <c r="A57" s="7">
        <v>45688</v>
      </c>
      <c r="B57" s="4" t="s">
        <v>19</v>
      </c>
      <c r="E57" s="14" t="s">
        <v>43</v>
      </c>
      <c r="G57" s="14" t="s">
        <v>94</v>
      </c>
      <c r="I57" s="12" t="s">
        <v>7</v>
      </c>
      <c r="K57" s="5">
        <v>40163</v>
      </c>
      <c r="L57" s="5">
        <v>25027</v>
      </c>
    </row>
    <row r="58" spans="1:12" x14ac:dyDescent="0.4">
      <c r="A58" s="7">
        <v>45688</v>
      </c>
      <c r="B58" s="4" t="s">
        <v>19</v>
      </c>
      <c r="E58" s="14" t="s">
        <v>43</v>
      </c>
      <c r="G58" s="14" t="s">
        <v>94</v>
      </c>
      <c r="I58" s="12" t="s">
        <v>9</v>
      </c>
      <c r="K58" s="5">
        <v>6120</v>
      </c>
      <c r="L58" s="5">
        <v>1897</v>
      </c>
    </row>
    <row r="59" spans="1:12" x14ac:dyDescent="0.4">
      <c r="A59" s="7">
        <v>45688</v>
      </c>
      <c r="B59" s="4" t="s">
        <v>19</v>
      </c>
      <c r="E59" s="14" t="s">
        <v>43</v>
      </c>
      <c r="G59" s="14" t="s">
        <v>95</v>
      </c>
      <c r="I59" s="12" t="s">
        <v>5</v>
      </c>
      <c r="K59" s="5">
        <v>17680</v>
      </c>
      <c r="L59" s="5">
        <v>8663</v>
      </c>
    </row>
    <row r="60" spans="1:12" x14ac:dyDescent="0.4">
      <c r="A60" s="7">
        <v>45688</v>
      </c>
      <c r="B60" s="4" t="s">
        <v>19</v>
      </c>
      <c r="E60" s="14" t="s">
        <v>43</v>
      </c>
      <c r="G60" s="14" t="s">
        <v>95</v>
      </c>
      <c r="I60" s="12" t="s">
        <v>6</v>
      </c>
      <c r="K60" s="5">
        <v>61710</v>
      </c>
      <c r="L60" s="5">
        <v>35399</v>
      </c>
    </row>
    <row r="61" spans="1:12" x14ac:dyDescent="0.4">
      <c r="A61" s="7">
        <v>45688</v>
      </c>
      <c r="B61" s="4" t="s">
        <v>19</v>
      </c>
      <c r="E61" s="14" t="s">
        <v>43</v>
      </c>
      <c r="G61" s="14" t="s">
        <v>95</v>
      </c>
      <c r="I61" s="12" t="s">
        <v>7</v>
      </c>
      <c r="K61" s="5">
        <v>22950</v>
      </c>
      <c r="L61" s="5">
        <v>9811</v>
      </c>
    </row>
    <row r="62" spans="1:12" x14ac:dyDescent="0.4">
      <c r="A62" s="7">
        <v>45688</v>
      </c>
      <c r="B62" s="4" t="s">
        <v>19</v>
      </c>
      <c r="E62" s="14" t="s">
        <v>43</v>
      </c>
      <c r="G62" s="14" t="s">
        <v>95</v>
      </c>
      <c r="I62" s="12" t="s">
        <v>9</v>
      </c>
      <c r="K62" s="5">
        <v>16320</v>
      </c>
      <c r="L62" s="5">
        <v>8323</v>
      </c>
    </row>
    <row r="63" spans="1:12" x14ac:dyDescent="0.4">
      <c r="A63" s="7">
        <v>45688</v>
      </c>
      <c r="B63" s="4" t="s">
        <v>19</v>
      </c>
      <c r="E63" s="14" t="s">
        <v>45</v>
      </c>
      <c r="G63" s="14" t="s">
        <v>96</v>
      </c>
      <c r="I63" s="12" t="s">
        <v>11</v>
      </c>
      <c r="K63" s="5">
        <v>5950</v>
      </c>
      <c r="L63" s="5">
        <v>1011</v>
      </c>
    </row>
    <row r="64" spans="1:12" x14ac:dyDescent="0.4">
      <c r="A64" s="7">
        <v>45688</v>
      </c>
      <c r="B64" s="4" t="s">
        <v>19</v>
      </c>
      <c r="E64" s="14" t="s">
        <v>45</v>
      </c>
      <c r="G64" s="14" t="s">
        <v>96</v>
      </c>
      <c r="I64" s="12" t="s">
        <v>7</v>
      </c>
      <c r="K64" s="5">
        <v>48195</v>
      </c>
      <c r="L64" s="5">
        <v>16237</v>
      </c>
    </row>
    <row r="65" spans="1:12" x14ac:dyDescent="0.4">
      <c r="A65" s="7">
        <v>45688</v>
      </c>
      <c r="B65" s="4" t="s">
        <v>19</v>
      </c>
      <c r="E65" s="14" t="s">
        <v>45</v>
      </c>
      <c r="G65" s="14" t="s">
        <v>96</v>
      </c>
      <c r="I65" s="12" t="s">
        <v>9</v>
      </c>
      <c r="K65" s="5">
        <v>18360</v>
      </c>
      <c r="L65" s="5">
        <v>11077</v>
      </c>
    </row>
    <row r="66" spans="1:12" x14ac:dyDescent="0.4">
      <c r="A66" s="7">
        <v>45688</v>
      </c>
      <c r="B66" s="4" t="s">
        <v>19</v>
      </c>
      <c r="E66" s="14" t="s">
        <v>46</v>
      </c>
      <c r="G66" s="14" t="s">
        <v>97</v>
      </c>
      <c r="I66" s="12" t="s">
        <v>7</v>
      </c>
      <c r="K66" s="5">
        <v>5738</v>
      </c>
      <c r="L66" s="5">
        <v>3902</v>
      </c>
    </row>
    <row r="67" spans="1:12" x14ac:dyDescent="0.4">
      <c r="A67" s="7">
        <v>45688</v>
      </c>
      <c r="B67" s="4" t="s">
        <v>19</v>
      </c>
      <c r="E67" s="14" t="s">
        <v>47</v>
      </c>
      <c r="G67" s="14" t="s">
        <v>98</v>
      </c>
      <c r="I67" s="12" t="s">
        <v>6</v>
      </c>
      <c r="K67" s="5">
        <v>15895</v>
      </c>
      <c r="L67" s="5">
        <v>6573</v>
      </c>
    </row>
    <row r="68" spans="1:12" x14ac:dyDescent="0.4">
      <c r="A68" s="7">
        <v>45688</v>
      </c>
      <c r="B68" s="4" t="s">
        <v>19</v>
      </c>
      <c r="E68" s="14" t="s">
        <v>47</v>
      </c>
      <c r="G68" s="14" t="s">
        <v>98</v>
      </c>
      <c r="I68" s="12" t="s">
        <v>9</v>
      </c>
      <c r="K68" s="5">
        <v>6120</v>
      </c>
      <c r="L68" s="5">
        <v>3611</v>
      </c>
    </row>
    <row r="69" spans="1:12" x14ac:dyDescent="0.4">
      <c r="A69" s="7">
        <v>45688</v>
      </c>
      <c r="B69" s="4" t="s">
        <v>19</v>
      </c>
      <c r="E69" s="14" t="s">
        <v>47</v>
      </c>
      <c r="G69" s="14" t="s">
        <v>126</v>
      </c>
      <c r="I69" s="12" t="s">
        <v>6</v>
      </c>
      <c r="K69" s="5">
        <v>5610</v>
      </c>
      <c r="L69" s="5">
        <v>898</v>
      </c>
    </row>
    <row r="70" spans="1:12" x14ac:dyDescent="0.4">
      <c r="A70" s="7">
        <v>45688</v>
      </c>
      <c r="B70" s="4" t="s">
        <v>26</v>
      </c>
      <c r="E70" s="14" t="s">
        <v>48</v>
      </c>
      <c r="G70" s="14" t="s">
        <v>100</v>
      </c>
      <c r="I70" s="12" t="s">
        <v>5</v>
      </c>
      <c r="K70" s="5">
        <v>141440</v>
      </c>
      <c r="L70" s="5">
        <v>64355</v>
      </c>
    </row>
    <row r="71" spans="1:12" x14ac:dyDescent="0.4">
      <c r="A71" s="7">
        <v>45688</v>
      </c>
      <c r="B71" s="4" t="s">
        <v>26</v>
      </c>
      <c r="E71" s="14" t="s">
        <v>48</v>
      </c>
      <c r="G71" s="14" t="s">
        <v>101</v>
      </c>
      <c r="I71" s="12" t="s">
        <v>6</v>
      </c>
      <c r="K71" s="5">
        <v>14960</v>
      </c>
      <c r="L71" s="5">
        <v>4563</v>
      </c>
    </row>
    <row r="72" spans="1:12" x14ac:dyDescent="0.4">
      <c r="A72" s="7">
        <v>45688</v>
      </c>
      <c r="B72" s="4" t="s">
        <v>26</v>
      </c>
      <c r="E72" s="14" t="s">
        <v>48</v>
      </c>
      <c r="G72" s="14" t="s">
        <v>101</v>
      </c>
      <c r="I72" s="12" t="s">
        <v>3</v>
      </c>
      <c r="K72" s="5">
        <v>6375</v>
      </c>
      <c r="L72" s="5">
        <v>2486</v>
      </c>
    </row>
    <row r="73" spans="1:12" x14ac:dyDescent="0.4">
      <c r="A73" s="7">
        <v>45688</v>
      </c>
      <c r="B73" s="4" t="s">
        <v>26</v>
      </c>
      <c r="E73" s="14" t="s">
        <v>48</v>
      </c>
      <c r="G73" s="14" t="s">
        <v>101</v>
      </c>
      <c r="I73" s="12" t="s">
        <v>7</v>
      </c>
      <c r="K73" s="5">
        <v>13770</v>
      </c>
      <c r="L73" s="5">
        <v>4613</v>
      </c>
    </row>
    <row r="74" spans="1:12" x14ac:dyDescent="0.4">
      <c r="A74" s="7">
        <v>45688</v>
      </c>
      <c r="B74" s="4" t="s">
        <v>26</v>
      </c>
      <c r="E74" s="14" t="s">
        <v>48</v>
      </c>
      <c r="G74" s="14" t="s">
        <v>101</v>
      </c>
      <c r="I74" s="12" t="s">
        <v>9</v>
      </c>
      <c r="K74" s="5">
        <v>14280</v>
      </c>
      <c r="L74" s="5">
        <v>7069</v>
      </c>
    </row>
    <row r="75" spans="1:12" x14ac:dyDescent="0.4">
      <c r="A75" s="7">
        <v>45688</v>
      </c>
      <c r="B75" s="4" t="s">
        <v>26</v>
      </c>
      <c r="E75" s="14" t="s">
        <v>49</v>
      </c>
      <c r="G75" s="14" t="s">
        <v>102</v>
      </c>
      <c r="I75" s="12" t="s">
        <v>6</v>
      </c>
      <c r="K75" s="5">
        <v>53295</v>
      </c>
      <c r="L75" s="5">
        <v>27003</v>
      </c>
    </row>
    <row r="76" spans="1:12" x14ac:dyDescent="0.4">
      <c r="A76" s="7">
        <v>45688</v>
      </c>
      <c r="B76" s="4" t="s">
        <v>26</v>
      </c>
      <c r="E76" s="14" t="s">
        <v>49</v>
      </c>
      <c r="G76" s="14" t="s">
        <v>102</v>
      </c>
      <c r="I76" s="12" t="s">
        <v>3</v>
      </c>
      <c r="K76" s="5">
        <v>6375</v>
      </c>
      <c r="L76" s="5">
        <v>1402</v>
      </c>
    </row>
    <row r="77" spans="1:12" x14ac:dyDescent="0.4">
      <c r="A77" s="7">
        <v>45688</v>
      </c>
      <c r="B77" s="4" t="s">
        <v>26</v>
      </c>
      <c r="E77" s="14" t="s">
        <v>49</v>
      </c>
      <c r="G77" s="14" t="s">
        <v>102</v>
      </c>
      <c r="I77" s="12" t="s">
        <v>14</v>
      </c>
      <c r="K77" s="5">
        <v>24480</v>
      </c>
      <c r="L77" s="5">
        <v>11077</v>
      </c>
    </row>
    <row r="78" spans="1:12" x14ac:dyDescent="0.4">
      <c r="A78" s="7">
        <v>45688</v>
      </c>
      <c r="B78" s="4" t="s">
        <v>26</v>
      </c>
      <c r="E78" s="14" t="s">
        <v>49</v>
      </c>
      <c r="G78" s="14" t="s">
        <v>103</v>
      </c>
      <c r="I78" s="12" t="s">
        <v>3</v>
      </c>
      <c r="K78" s="5">
        <v>422025</v>
      </c>
      <c r="L78" s="5">
        <v>233644</v>
      </c>
    </row>
    <row r="79" spans="1:12" x14ac:dyDescent="0.4">
      <c r="A79" s="7">
        <v>45688</v>
      </c>
      <c r="B79" s="4" t="s">
        <v>23</v>
      </c>
      <c r="E79" s="14" t="s">
        <v>36</v>
      </c>
      <c r="G79" s="14" t="s">
        <v>122</v>
      </c>
      <c r="I79" s="12" t="s">
        <v>5</v>
      </c>
      <c r="K79" s="5">
        <v>44200</v>
      </c>
      <c r="L79" s="5">
        <v>19890</v>
      </c>
    </row>
    <row r="80" spans="1:12" x14ac:dyDescent="0.4">
      <c r="A80" s="7">
        <v>45688</v>
      </c>
      <c r="B80" s="4" t="s">
        <v>23</v>
      </c>
      <c r="E80" s="14" t="s">
        <v>36</v>
      </c>
      <c r="G80" s="14" t="s">
        <v>122</v>
      </c>
      <c r="I80" s="12" t="s">
        <v>11</v>
      </c>
      <c r="K80" s="5">
        <v>5950</v>
      </c>
      <c r="L80" s="5">
        <v>3391</v>
      </c>
    </row>
    <row r="81" spans="1:12" x14ac:dyDescent="0.4">
      <c r="A81" s="7">
        <v>45688</v>
      </c>
      <c r="B81" s="4" t="s">
        <v>23</v>
      </c>
      <c r="E81" s="14" t="s">
        <v>36</v>
      </c>
      <c r="G81" s="14" t="s">
        <v>87</v>
      </c>
      <c r="I81" s="12" t="s">
        <v>6</v>
      </c>
      <c r="K81" s="5">
        <v>30855</v>
      </c>
      <c r="L81" s="5">
        <v>14876</v>
      </c>
    </row>
    <row r="82" spans="1:12" x14ac:dyDescent="0.4">
      <c r="A82" s="7">
        <v>45688</v>
      </c>
      <c r="B82" s="4" t="s">
        <v>23</v>
      </c>
      <c r="E82" s="14" t="s">
        <v>36</v>
      </c>
      <c r="G82" s="14" t="s">
        <v>87</v>
      </c>
      <c r="I82" s="12" t="s">
        <v>7</v>
      </c>
      <c r="K82" s="5">
        <v>17213</v>
      </c>
      <c r="L82" s="5">
        <v>6599</v>
      </c>
    </row>
    <row r="83" spans="1:12" x14ac:dyDescent="0.4">
      <c r="A83" s="7">
        <v>45688</v>
      </c>
      <c r="B83" s="4" t="s">
        <v>23</v>
      </c>
      <c r="E83" s="14" t="s">
        <v>36</v>
      </c>
      <c r="G83" s="14" t="s">
        <v>87</v>
      </c>
      <c r="I83" s="12" t="s">
        <v>9</v>
      </c>
      <c r="K83" s="5">
        <v>10200</v>
      </c>
      <c r="L83" s="5">
        <v>7650</v>
      </c>
    </row>
    <row r="84" spans="1:12" x14ac:dyDescent="0.4">
      <c r="A84" s="7">
        <v>45688</v>
      </c>
      <c r="B84" s="4" t="s">
        <v>24</v>
      </c>
      <c r="E84" s="14" t="s">
        <v>50</v>
      </c>
      <c r="G84" s="14" t="s">
        <v>104</v>
      </c>
      <c r="I84" s="12" t="s">
        <v>6</v>
      </c>
      <c r="K84" s="5">
        <v>60775</v>
      </c>
      <c r="L84" s="5">
        <v>33950</v>
      </c>
    </row>
    <row r="85" spans="1:12" x14ac:dyDescent="0.4">
      <c r="A85" s="7">
        <v>45688</v>
      </c>
      <c r="B85" s="4" t="s">
        <v>24</v>
      </c>
      <c r="E85" s="14" t="s">
        <v>50</v>
      </c>
      <c r="G85" s="14" t="s">
        <v>104</v>
      </c>
      <c r="I85" s="12" t="s">
        <v>7</v>
      </c>
      <c r="K85" s="5">
        <v>40163</v>
      </c>
      <c r="L85" s="5">
        <v>12852</v>
      </c>
    </row>
    <row r="86" spans="1:12" x14ac:dyDescent="0.4">
      <c r="A86" s="7">
        <v>45688</v>
      </c>
      <c r="B86" s="4" t="s">
        <v>24</v>
      </c>
      <c r="E86" s="14" t="s">
        <v>50</v>
      </c>
      <c r="G86" s="14" t="s">
        <v>104</v>
      </c>
      <c r="I86" s="12" t="s">
        <v>9</v>
      </c>
      <c r="K86" s="5">
        <v>20400</v>
      </c>
      <c r="L86" s="5">
        <v>8772</v>
      </c>
    </row>
    <row r="87" spans="1:12" x14ac:dyDescent="0.4">
      <c r="A87" s="7">
        <v>45688</v>
      </c>
      <c r="B87" s="4" t="s">
        <v>21</v>
      </c>
      <c r="E87" s="14" t="s">
        <v>66</v>
      </c>
      <c r="G87" s="14" t="s">
        <v>127</v>
      </c>
      <c r="I87" s="12" t="s">
        <v>10</v>
      </c>
      <c r="K87" s="5">
        <v>8500</v>
      </c>
      <c r="L87" s="5">
        <v>7140</v>
      </c>
    </row>
    <row r="88" spans="1:12" x14ac:dyDescent="0.4">
      <c r="A88" s="7">
        <v>45688</v>
      </c>
      <c r="B88" s="4" t="s">
        <v>21</v>
      </c>
      <c r="E88" s="14" t="s">
        <v>51</v>
      </c>
      <c r="G88" s="14" t="s">
        <v>105</v>
      </c>
      <c r="I88" s="12" t="s">
        <v>6</v>
      </c>
      <c r="K88" s="5">
        <v>11220</v>
      </c>
      <c r="L88" s="5">
        <v>8752</v>
      </c>
    </row>
    <row r="89" spans="1:12" x14ac:dyDescent="0.4">
      <c r="A89" s="7">
        <v>45688</v>
      </c>
      <c r="B89" s="4" t="s">
        <v>21</v>
      </c>
      <c r="E89" s="14" t="s">
        <v>51</v>
      </c>
      <c r="G89" s="14" t="s">
        <v>106</v>
      </c>
      <c r="I89" s="12" t="s">
        <v>7</v>
      </c>
      <c r="K89" s="5">
        <v>11475</v>
      </c>
      <c r="L89" s="5">
        <v>9237</v>
      </c>
    </row>
    <row r="90" spans="1:12" x14ac:dyDescent="0.4">
      <c r="A90" s="7">
        <v>45688</v>
      </c>
      <c r="B90" s="4" t="s">
        <v>21</v>
      </c>
      <c r="E90" s="14" t="s">
        <v>52</v>
      </c>
      <c r="G90" s="14" t="s">
        <v>107</v>
      </c>
      <c r="I90" s="12" t="s">
        <v>7</v>
      </c>
      <c r="K90" s="5">
        <v>22950</v>
      </c>
      <c r="L90" s="5">
        <v>10901</v>
      </c>
    </row>
    <row r="91" spans="1:12" x14ac:dyDescent="0.4">
      <c r="A91" s="7">
        <v>45688</v>
      </c>
      <c r="B91" s="4" t="s">
        <v>21</v>
      </c>
      <c r="E91" s="14" t="s">
        <v>52</v>
      </c>
      <c r="G91" s="14" t="s">
        <v>107</v>
      </c>
      <c r="I91" s="12" t="s">
        <v>9</v>
      </c>
      <c r="K91" s="5">
        <v>20400</v>
      </c>
      <c r="L91" s="5">
        <v>14790</v>
      </c>
    </row>
    <row r="92" spans="1:12" x14ac:dyDescent="0.4">
      <c r="A92" s="7">
        <v>45688</v>
      </c>
      <c r="B92" s="4" t="s">
        <v>21</v>
      </c>
      <c r="E92" s="14" t="s">
        <v>53</v>
      </c>
      <c r="G92" s="14" t="s">
        <v>108</v>
      </c>
      <c r="I92" s="12" t="s">
        <v>7</v>
      </c>
      <c r="K92" s="5">
        <v>5738</v>
      </c>
      <c r="L92" s="5">
        <v>2009</v>
      </c>
    </row>
    <row r="93" spans="1:12" x14ac:dyDescent="0.4">
      <c r="A93" s="7">
        <v>45688</v>
      </c>
      <c r="B93" s="4" t="s">
        <v>21</v>
      </c>
      <c r="E93" s="14" t="s">
        <v>53</v>
      </c>
      <c r="G93" s="14" t="s">
        <v>109</v>
      </c>
      <c r="I93" s="12" t="s">
        <v>7</v>
      </c>
      <c r="K93" s="5">
        <v>5738</v>
      </c>
      <c r="L93" s="5">
        <v>2238</v>
      </c>
    </row>
    <row r="94" spans="1:12" x14ac:dyDescent="0.4">
      <c r="A94" s="7">
        <v>45688</v>
      </c>
      <c r="B94" s="4" t="s">
        <v>21</v>
      </c>
      <c r="E94" s="14" t="s">
        <v>53</v>
      </c>
      <c r="G94" s="14" t="s">
        <v>110</v>
      </c>
      <c r="I94" s="12" t="s">
        <v>7</v>
      </c>
      <c r="K94" s="5">
        <v>97538</v>
      </c>
      <c r="L94" s="5">
        <v>53440</v>
      </c>
    </row>
    <row r="95" spans="1:12" x14ac:dyDescent="0.4">
      <c r="A95" s="7">
        <v>45688</v>
      </c>
      <c r="B95" s="4" t="s">
        <v>21</v>
      </c>
      <c r="E95" s="14" t="s">
        <v>53</v>
      </c>
      <c r="G95" s="14" t="s">
        <v>110</v>
      </c>
      <c r="I95" s="12" t="s">
        <v>9</v>
      </c>
      <c r="K95" s="5">
        <v>20400</v>
      </c>
      <c r="L95" s="5">
        <v>7242</v>
      </c>
    </row>
    <row r="96" spans="1:12" x14ac:dyDescent="0.4">
      <c r="A96" s="7">
        <v>45688</v>
      </c>
      <c r="B96" s="4" t="s">
        <v>25</v>
      </c>
      <c r="E96" s="14" t="s">
        <v>64</v>
      </c>
      <c r="G96" s="14" t="s">
        <v>120</v>
      </c>
      <c r="I96" s="12" t="s">
        <v>8</v>
      </c>
      <c r="K96" s="5">
        <v>5738</v>
      </c>
      <c r="L96" s="5">
        <v>4074</v>
      </c>
    </row>
    <row r="97" spans="1:12" x14ac:dyDescent="0.4">
      <c r="A97" s="7">
        <v>45688</v>
      </c>
      <c r="B97" s="4" t="s">
        <v>25</v>
      </c>
      <c r="E97" s="14" t="s">
        <v>54</v>
      </c>
      <c r="G97" s="14" t="s">
        <v>111</v>
      </c>
      <c r="I97" s="12" t="s">
        <v>6</v>
      </c>
      <c r="K97" s="5">
        <v>14960</v>
      </c>
      <c r="L97" s="5">
        <v>11164</v>
      </c>
    </row>
    <row r="98" spans="1:12" x14ac:dyDescent="0.4">
      <c r="A98" s="7">
        <v>45688</v>
      </c>
      <c r="B98" s="4" t="s">
        <v>25</v>
      </c>
      <c r="E98" s="14" t="s">
        <v>54</v>
      </c>
      <c r="G98" s="14" t="s">
        <v>111</v>
      </c>
      <c r="I98" s="12" t="s">
        <v>3</v>
      </c>
      <c r="K98" s="5">
        <v>6375</v>
      </c>
      <c r="L98" s="5">
        <v>1020</v>
      </c>
    </row>
    <row r="99" spans="1:12" x14ac:dyDescent="0.4">
      <c r="A99" s="7">
        <v>45688</v>
      </c>
      <c r="B99" s="4" t="s">
        <v>25</v>
      </c>
      <c r="E99" s="14" t="s">
        <v>54</v>
      </c>
      <c r="G99" s="14" t="s">
        <v>111</v>
      </c>
      <c r="I99" s="12" t="s">
        <v>7</v>
      </c>
      <c r="K99" s="5">
        <v>22950</v>
      </c>
      <c r="L99" s="5">
        <v>13885</v>
      </c>
    </row>
    <row r="100" spans="1:12" x14ac:dyDescent="0.4">
      <c r="A100" s="7">
        <v>45688</v>
      </c>
      <c r="B100" s="4" t="s">
        <v>25</v>
      </c>
      <c r="E100" s="14" t="s">
        <v>54</v>
      </c>
      <c r="G100" s="14" t="s">
        <v>111</v>
      </c>
      <c r="I100" s="12" t="s">
        <v>9</v>
      </c>
      <c r="K100" s="5">
        <v>13260</v>
      </c>
      <c r="L100" s="5">
        <v>6701</v>
      </c>
    </row>
    <row r="101" spans="1:12" x14ac:dyDescent="0.4">
      <c r="A101" s="7">
        <v>45688</v>
      </c>
      <c r="B101" s="4" t="s">
        <v>25</v>
      </c>
      <c r="E101" s="14" t="s">
        <v>55</v>
      </c>
      <c r="G101" s="14" t="s">
        <v>112</v>
      </c>
      <c r="I101" s="12" t="s">
        <v>8</v>
      </c>
      <c r="K101" s="5">
        <v>121635</v>
      </c>
      <c r="L101" s="5">
        <v>64742</v>
      </c>
    </row>
    <row r="102" spans="1:12" x14ac:dyDescent="0.4">
      <c r="A102" s="7">
        <v>45688</v>
      </c>
      <c r="B102" s="4" t="s">
        <v>25</v>
      </c>
      <c r="E102" s="14" t="s">
        <v>55</v>
      </c>
      <c r="G102" s="14" t="s">
        <v>112</v>
      </c>
      <c r="I102" s="12" t="s">
        <v>7</v>
      </c>
      <c r="K102" s="5">
        <v>48195</v>
      </c>
      <c r="L102" s="5">
        <v>22445</v>
      </c>
    </row>
    <row r="103" spans="1:12" x14ac:dyDescent="0.4">
      <c r="A103" s="7">
        <v>45688</v>
      </c>
      <c r="B103" s="4" t="s">
        <v>25</v>
      </c>
      <c r="E103" s="14" t="s">
        <v>55</v>
      </c>
      <c r="G103" s="14" t="s">
        <v>112</v>
      </c>
      <c r="I103" s="12" t="s">
        <v>13</v>
      </c>
      <c r="K103" s="5">
        <v>6885</v>
      </c>
      <c r="L103" s="5">
        <v>5301</v>
      </c>
    </row>
    <row r="104" spans="1:12" x14ac:dyDescent="0.4">
      <c r="A104" s="7">
        <v>45688</v>
      </c>
      <c r="B104" s="4" t="s">
        <v>25</v>
      </c>
      <c r="E104" s="14" t="s">
        <v>55</v>
      </c>
      <c r="G104" s="14" t="s">
        <v>112</v>
      </c>
      <c r="I104" s="12" t="s">
        <v>10</v>
      </c>
      <c r="K104" s="5">
        <v>10625</v>
      </c>
      <c r="L104" s="5">
        <v>9031</v>
      </c>
    </row>
    <row r="105" spans="1:12" x14ac:dyDescent="0.4">
      <c r="A105" s="7">
        <v>45688</v>
      </c>
      <c r="B105" s="4" t="s">
        <v>25</v>
      </c>
      <c r="E105" s="14" t="s">
        <v>56</v>
      </c>
      <c r="G105" s="14" t="s">
        <v>113</v>
      </c>
      <c r="I105" s="12" t="s">
        <v>3</v>
      </c>
      <c r="K105" s="5">
        <v>280075</v>
      </c>
      <c r="L105" s="5">
        <v>129357</v>
      </c>
    </row>
    <row r="106" spans="1:12" x14ac:dyDescent="0.4">
      <c r="A106" s="7">
        <v>45688</v>
      </c>
      <c r="B106" s="4" t="s">
        <v>26</v>
      </c>
      <c r="E106" s="14" t="s">
        <v>57</v>
      </c>
      <c r="G106" s="14" t="s">
        <v>114</v>
      </c>
      <c r="I106" s="12" t="s">
        <v>6</v>
      </c>
      <c r="K106" s="5">
        <v>16830</v>
      </c>
      <c r="L106" s="5">
        <v>9593</v>
      </c>
    </row>
    <row r="107" spans="1:12" x14ac:dyDescent="0.4">
      <c r="A107" s="7">
        <v>45688</v>
      </c>
      <c r="B107" s="4" t="s">
        <v>26</v>
      </c>
      <c r="E107" s="14" t="s">
        <v>57</v>
      </c>
      <c r="G107" s="14" t="s">
        <v>114</v>
      </c>
      <c r="I107" s="12" t="s">
        <v>7</v>
      </c>
      <c r="K107" s="5">
        <v>24098</v>
      </c>
      <c r="L107" s="5">
        <v>13725</v>
      </c>
    </row>
    <row r="108" spans="1:12" x14ac:dyDescent="0.4">
      <c r="A108" s="7">
        <v>45688</v>
      </c>
      <c r="B108" s="4" t="s">
        <v>19</v>
      </c>
      <c r="E108" s="14" t="s">
        <v>61</v>
      </c>
      <c r="G108" s="14" t="s">
        <v>128</v>
      </c>
      <c r="I108" s="12" t="s">
        <v>7</v>
      </c>
      <c r="K108" s="5">
        <v>13770</v>
      </c>
      <c r="L108" s="5">
        <v>7195</v>
      </c>
    </row>
    <row r="109" spans="1:12" x14ac:dyDescent="0.4">
      <c r="A109" s="7">
        <v>45688</v>
      </c>
      <c r="B109" s="4" t="s">
        <v>19</v>
      </c>
      <c r="E109" s="14" t="s">
        <v>58</v>
      </c>
      <c r="G109" s="14" t="s">
        <v>115</v>
      </c>
      <c r="I109" s="12" t="s">
        <v>9</v>
      </c>
      <c r="K109" s="5">
        <v>20400</v>
      </c>
      <c r="L109" s="5">
        <v>13056</v>
      </c>
    </row>
    <row r="110" spans="1:12" x14ac:dyDescent="0.4">
      <c r="A110" s="7">
        <v>45688</v>
      </c>
      <c r="B110" s="4" t="s">
        <v>19</v>
      </c>
      <c r="E110" s="14" t="s">
        <v>59</v>
      </c>
      <c r="G110" s="14" t="s">
        <v>116</v>
      </c>
      <c r="I110" s="12" t="s">
        <v>6</v>
      </c>
      <c r="K110" s="5">
        <v>78540</v>
      </c>
      <c r="L110" s="5">
        <v>46395</v>
      </c>
    </row>
    <row r="111" spans="1:12" x14ac:dyDescent="0.4">
      <c r="A111" s="7">
        <v>45688</v>
      </c>
      <c r="B111" s="4" t="s">
        <v>19</v>
      </c>
      <c r="E111" s="14" t="s">
        <v>59</v>
      </c>
      <c r="G111" s="14" t="s">
        <v>116</v>
      </c>
      <c r="I111" s="12" t="s">
        <v>10</v>
      </c>
      <c r="K111" s="5">
        <v>6375</v>
      </c>
      <c r="L111" s="5">
        <v>4781</v>
      </c>
    </row>
    <row r="112" spans="1:12" x14ac:dyDescent="0.4">
      <c r="A112" s="7">
        <v>45688</v>
      </c>
      <c r="B112" s="4" t="s">
        <v>19</v>
      </c>
      <c r="E112" s="14" t="s">
        <v>60</v>
      </c>
      <c r="G112" s="14" t="s">
        <v>117</v>
      </c>
      <c r="I112" s="12" t="s">
        <v>6</v>
      </c>
      <c r="K112" s="5">
        <v>28050</v>
      </c>
      <c r="L112" s="5">
        <v>9649</v>
      </c>
    </row>
    <row r="113" spans="1:12" x14ac:dyDescent="0.4">
      <c r="A113" s="8"/>
      <c r="B113" s="4"/>
      <c r="E113" s="14"/>
      <c r="G113" s="14"/>
      <c r="I113" s="12"/>
      <c r="K113" s="5"/>
      <c r="L113" s="5"/>
    </row>
    <row r="114" spans="1:12" ht="22" customHeight="1" x14ac:dyDescent="0.35">
      <c r="A114" s="20" t="s">
        <v>69</v>
      </c>
      <c r="B114" s="15"/>
      <c r="C114" s="15"/>
      <c r="D114" s="15"/>
      <c r="E114" s="16"/>
      <c r="F114" s="16"/>
      <c r="G114" s="16"/>
      <c r="H114" s="15"/>
      <c r="I114" s="15"/>
      <c r="J114" s="15"/>
      <c r="K114" s="15"/>
      <c r="L114" s="15"/>
    </row>
    <row r="115" spans="1:12" x14ac:dyDescent="0.4">
      <c r="A115" s="6" t="s">
        <v>22</v>
      </c>
      <c r="B115" s="3" t="s">
        <v>17</v>
      </c>
      <c r="E115" s="13" t="s">
        <v>28</v>
      </c>
      <c r="G115" s="13" t="s">
        <v>27</v>
      </c>
      <c r="I115" s="11" t="s">
        <v>0</v>
      </c>
      <c r="K115" s="3" t="s">
        <v>2</v>
      </c>
      <c r="L115" s="3" t="s">
        <v>1</v>
      </c>
    </row>
    <row r="116" spans="1:12" x14ac:dyDescent="0.4">
      <c r="A116" s="7">
        <v>45716</v>
      </c>
      <c r="B116" s="4" t="s">
        <v>18</v>
      </c>
      <c r="E116" s="14" t="s">
        <v>29</v>
      </c>
      <c r="G116" s="14" t="s">
        <v>80</v>
      </c>
      <c r="I116" s="12" t="s">
        <v>6</v>
      </c>
      <c r="K116" s="5">
        <v>6889</v>
      </c>
      <c r="L116" s="5">
        <v>1585</v>
      </c>
    </row>
    <row r="117" spans="1:12" x14ac:dyDescent="0.4">
      <c r="A117" s="7">
        <v>45716</v>
      </c>
      <c r="B117" s="4" t="s">
        <v>18</v>
      </c>
      <c r="E117" s="14" t="s">
        <v>29</v>
      </c>
      <c r="G117" s="14" t="s">
        <v>80</v>
      </c>
      <c r="I117" s="12" t="s">
        <v>3</v>
      </c>
      <c r="K117" s="5">
        <v>82266</v>
      </c>
      <c r="L117" s="5">
        <v>38543</v>
      </c>
    </row>
    <row r="118" spans="1:12" x14ac:dyDescent="0.4">
      <c r="A118" s="7">
        <v>45716</v>
      </c>
      <c r="B118" s="4" t="s">
        <v>18</v>
      </c>
      <c r="E118" s="14" t="s">
        <v>31</v>
      </c>
      <c r="G118" s="14" t="s">
        <v>82</v>
      </c>
      <c r="I118" s="12" t="s">
        <v>5</v>
      </c>
      <c r="K118" s="5">
        <v>49238</v>
      </c>
      <c r="L118" s="5">
        <v>21567</v>
      </c>
    </row>
    <row r="119" spans="1:12" x14ac:dyDescent="0.4">
      <c r="A119" s="7">
        <v>45716</v>
      </c>
      <c r="B119" s="4" t="s">
        <v>18</v>
      </c>
      <c r="E119" s="14" t="s">
        <v>31</v>
      </c>
      <c r="G119" s="14" t="s">
        <v>82</v>
      </c>
      <c r="I119" s="12" t="s">
        <v>12</v>
      </c>
      <c r="K119" s="5">
        <v>7438</v>
      </c>
      <c r="L119" s="5">
        <v>5802</v>
      </c>
    </row>
    <row r="120" spans="1:12" x14ac:dyDescent="0.4">
      <c r="A120" s="7">
        <v>45716</v>
      </c>
      <c r="B120" s="4" t="s">
        <v>18</v>
      </c>
      <c r="E120" s="14" t="s">
        <v>33</v>
      </c>
      <c r="G120" s="14" t="s">
        <v>83</v>
      </c>
      <c r="I120" s="12" t="s">
        <v>6</v>
      </c>
      <c r="K120" s="5">
        <v>65216</v>
      </c>
      <c r="L120" s="5">
        <v>30378</v>
      </c>
    </row>
    <row r="121" spans="1:12" x14ac:dyDescent="0.4">
      <c r="A121" s="7">
        <v>45716</v>
      </c>
      <c r="B121" s="4" t="s">
        <v>18</v>
      </c>
      <c r="E121" s="14" t="s">
        <v>33</v>
      </c>
      <c r="G121" s="14" t="s">
        <v>83</v>
      </c>
      <c r="I121" s="12" t="s">
        <v>7</v>
      </c>
      <c r="K121" s="5">
        <v>71904</v>
      </c>
      <c r="L121" s="5">
        <v>28087</v>
      </c>
    </row>
    <row r="122" spans="1:12" x14ac:dyDescent="0.4">
      <c r="A122" s="7">
        <v>45716</v>
      </c>
      <c r="B122" s="4" t="s">
        <v>18</v>
      </c>
      <c r="E122" s="14" t="s">
        <v>34</v>
      </c>
      <c r="G122" s="14" t="s">
        <v>84</v>
      </c>
      <c r="I122" s="12" t="s">
        <v>5</v>
      </c>
      <c r="K122" s="5">
        <v>10855</v>
      </c>
      <c r="L122" s="5">
        <v>3691</v>
      </c>
    </row>
    <row r="123" spans="1:12" x14ac:dyDescent="0.4">
      <c r="A123" s="7">
        <v>45716</v>
      </c>
      <c r="B123" s="4" t="s">
        <v>18</v>
      </c>
      <c r="E123" s="14" t="s">
        <v>34</v>
      </c>
      <c r="G123" s="14" t="s">
        <v>84</v>
      </c>
      <c r="I123" s="12" t="s">
        <v>6</v>
      </c>
      <c r="K123" s="5">
        <v>6889</v>
      </c>
      <c r="L123" s="5">
        <v>3376</v>
      </c>
    </row>
    <row r="124" spans="1:12" x14ac:dyDescent="0.4">
      <c r="A124" s="7">
        <v>45716</v>
      </c>
      <c r="B124" s="4" t="s">
        <v>18</v>
      </c>
      <c r="E124" s="14" t="s">
        <v>34</v>
      </c>
      <c r="G124" s="14" t="s">
        <v>84</v>
      </c>
      <c r="I124" s="12" t="s">
        <v>3</v>
      </c>
      <c r="K124" s="5">
        <v>14203</v>
      </c>
      <c r="L124" s="5">
        <v>8159</v>
      </c>
    </row>
    <row r="125" spans="1:12" x14ac:dyDescent="0.4">
      <c r="A125" s="7">
        <v>45716</v>
      </c>
      <c r="B125" s="4" t="s">
        <v>18</v>
      </c>
      <c r="E125" s="14" t="s">
        <v>34</v>
      </c>
      <c r="G125" s="14" t="s">
        <v>84</v>
      </c>
      <c r="I125" s="12" t="s">
        <v>8</v>
      </c>
      <c r="K125" s="5">
        <v>7045</v>
      </c>
      <c r="L125" s="5">
        <v>4790</v>
      </c>
    </row>
    <row r="126" spans="1:12" x14ac:dyDescent="0.4">
      <c r="A126" s="7">
        <v>45716</v>
      </c>
      <c r="B126" s="4" t="s">
        <v>18</v>
      </c>
      <c r="E126" s="14" t="s">
        <v>34</v>
      </c>
      <c r="G126" s="14" t="s">
        <v>84</v>
      </c>
      <c r="I126" s="12" t="s">
        <v>7</v>
      </c>
      <c r="K126" s="5">
        <v>12783</v>
      </c>
      <c r="L126" s="5">
        <v>9189</v>
      </c>
    </row>
    <row r="127" spans="1:12" x14ac:dyDescent="0.4">
      <c r="A127" s="7">
        <v>45716</v>
      </c>
      <c r="B127" s="4" t="s">
        <v>24</v>
      </c>
      <c r="E127" s="14" t="s">
        <v>35</v>
      </c>
      <c r="G127" s="14" t="s">
        <v>85</v>
      </c>
      <c r="I127" s="12" t="s">
        <v>9</v>
      </c>
      <c r="K127" s="5">
        <v>80700</v>
      </c>
      <c r="L127" s="5">
        <v>53035</v>
      </c>
    </row>
    <row r="128" spans="1:12" x14ac:dyDescent="0.4">
      <c r="A128" s="7">
        <v>45716</v>
      </c>
      <c r="B128" s="4" t="s">
        <v>23</v>
      </c>
      <c r="E128" s="14" t="s">
        <v>36</v>
      </c>
      <c r="G128" s="14" t="s">
        <v>86</v>
      </c>
      <c r="I128" s="12" t="s">
        <v>9</v>
      </c>
      <c r="K128" s="5">
        <v>12525</v>
      </c>
      <c r="L128" s="5">
        <v>7891</v>
      </c>
    </row>
    <row r="129" spans="1:12" x14ac:dyDescent="0.4">
      <c r="A129" s="7">
        <v>45716</v>
      </c>
      <c r="B129" s="4" t="s">
        <v>23</v>
      </c>
      <c r="E129" s="14" t="s">
        <v>36</v>
      </c>
      <c r="G129" s="14" t="s">
        <v>86</v>
      </c>
      <c r="I129" s="12" t="s">
        <v>4</v>
      </c>
      <c r="K129" s="5">
        <v>773541</v>
      </c>
      <c r="L129" s="5">
        <v>436494</v>
      </c>
    </row>
    <row r="130" spans="1:12" x14ac:dyDescent="0.4">
      <c r="A130" s="7">
        <v>45716</v>
      </c>
      <c r="B130" s="4" t="s">
        <v>23</v>
      </c>
      <c r="E130" s="14" t="s">
        <v>62</v>
      </c>
      <c r="G130" s="14" t="s">
        <v>118</v>
      </c>
      <c r="I130" s="12" t="s">
        <v>5</v>
      </c>
      <c r="K130" s="5">
        <v>21710</v>
      </c>
      <c r="L130" s="5">
        <v>15848</v>
      </c>
    </row>
    <row r="131" spans="1:12" x14ac:dyDescent="0.4">
      <c r="A131" s="7">
        <v>45716</v>
      </c>
      <c r="B131" s="4" t="s">
        <v>23</v>
      </c>
      <c r="E131" s="14" t="s">
        <v>62</v>
      </c>
      <c r="G131" s="14" t="s">
        <v>118</v>
      </c>
      <c r="I131" s="12" t="s">
        <v>7</v>
      </c>
      <c r="K131" s="5">
        <v>7045</v>
      </c>
      <c r="L131" s="5">
        <v>3452</v>
      </c>
    </row>
    <row r="132" spans="1:12" x14ac:dyDescent="0.4">
      <c r="A132" s="7">
        <v>45716</v>
      </c>
      <c r="B132" s="4" t="s">
        <v>23</v>
      </c>
      <c r="E132" s="14" t="s">
        <v>37</v>
      </c>
      <c r="G132" s="14" t="s">
        <v>87</v>
      </c>
      <c r="I132" s="12" t="s">
        <v>6</v>
      </c>
      <c r="K132" s="5">
        <v>5610</v>
      </c>
      <c r="L132" s="5">
        <v>2637</v>
      </c>
    </row>
    <row r="133" spans="1:12" x14ac:dyDescent="0.4">
      <c r="A133" s="7">
        <v>45716</v>
      </c>
      <c r="B133" s="4" t="s">
        <v>23</v>
      </c>
      <c r="E133" s="14" t="s">
        <v>38</v>
      </c>
      <c r="G133" s="14" t="s">
        <v>88</v>
      </c>
      <c r="I133" s="12" t="s">
        <v>11</v>
      </c>
      <c r="K133" s="5">
        <v>14613</v>
      </c>
      <c r="L133" s="5">
        <v>8549</v>
      </c>
    </row>
    <row r="134" spans="1:12" x14ac:dyDescent="0.4">
      <c r="A134" s="7">
        <v>45716</v>
      </c>
      <c r="B134" s="4" t="s">
        <v>23</v>
      </c>
      <c r="E134" s="14" t="s">
        <v>38</v>
      </c>
      <c r="G134" s="14" t="s">
        <v>88</v>
      </c>
      <c r="I134" s="12" t="s">
        <v>6</v>
      </c>
      <c r="K134" s="5">
        <v>14582</v>
      </c>
      <c r="L134" s="5">
        <v>6408</v>
      </c>
    </row>
    <row r="135" spans="1:12" x14ac:dyDescent="0.4">
      <c r="A135" s="7">
        <v>45716</v>
      </c>
      <c r="B135" s="4" t="s">
        <v>23</v>
      </c>
      <c r="E135" s="14" t="s">
        <v>38</v>
      </c>
      <c r="G135" s="14" t="s">
        <v>88</v>
      </c>
      <c r="I135" s="12" t="s">
        <v>7</v>
      </c>
      <c r="K135" s="5">
        <v>38348</v>
      </c>
      <c r="L135" s="5">
        <v>22436</v>
      </c>
    </row>
    <row r="136" spans="1:12" x14ac:dyDescent="0.4">
      <c r="A136" s="7">
        <v>45716</v>
      </c>
      <c r="B136" s="4" t="s">
        <v>23</v>
      </c>
      <c r="E136" s="14" t="s">
        <v>38</v>
      </c>
      <c r="G136" s="14" t="s">
        <v>88</v>
      </c>
      <c r="I136" s="12" t="s">
        <v>9</v>
      </c>
      <c r="K136" s="5">
        <v>47775</v>
      </c>
      <c r="L136" s="5">
        <v>28239</v>
      </c>
    </row>
    <row r="137" spans="1:12" x14ac:dyDescent="0.4">
      <c r="A137" s="7">
        <v>45716</v>
      </c>
      <c r="B137" s="4" t="s">
        <v>20</v>
      </c>
      <c r="E137" s="14" t="s">
        <v>65</v>
      </c>
      <c r="G137" s="14" t="s">
        <v>129</v>
      </c>
      <c r="I137" s="12" t="s">
        <v>15</v>
      </c>
      <c r="K137" s="5">
        <v>32969</v>
      </c>
      <c r="L137" s="5">
        <v>12120</v>
      </c>
    </row>
    <row r="138" spans="1:12" x14ac:dyDescent="0.4">
      <c r="A138" s="7">
        <v>45716</v>
      </c>
      <c r="B138" s="4" t="s">
        <v>20</v>
      </c>
      <c r="E138" s="14" t="s">
        <v>39</v>
      </c>
      <c r="G138" s="14" t="s">
        <v>89</v>
      </c>
      <c r="I138" s="12" t="s">
        <v>5</v>
      </c>
      <c r="K138" s="5">
        <v>26520</v>
      </c>
      <c r="L138" s="5">
        <v>4243</v>
      </c>
    </row>
    <row r="139" spans="1:12" x14ac:dyDescent="0.4">
      <c r="A139" s="7">
        <v>45716</v>
      </c>
      <c r="B139" s="4" t="s">
        <v>20</v>
      </c>
      <c r="E139" s="14" t="s">
        <v>39</v>
      </c>
      <c r="G139" s="14" t="s">
        <v>89</v>
      </c>
      <c r="I139" s="12" t="s">
        <v>6</v>
      </c>
      <c r="K139" s="5">
        <v>7480</v>
      </c>
      <c r="L139" s="5">
        <v>5535</v>
      </c>
    </row>
    <row r="140" spans="1:12" x14ac:dyDescent="0.4">
      <c r="A140" s="7">
        <v>45716</v>
      </c>
      <c r="B140" s="4" t="s">
        <v>20</v>
      </c>
      <c r="E140" s="14" t="s">
        <v>39</v>
      </c>
      <c r="G140" s="14" t="s">
        <v>89</v>
      </c>
      <c r="I140" s="12" t="s">
        <v>3</v>
      </c>
      <c r="K140" s="5">
        <v>10959</v>
      </c>
      <c r="L140" s="5">
        <v>6575</v>
      </c>
    </row>
    <row r="141" spans="1:12" x14ac:dyDescent="0.4">
      <c r="A141" s="7">
        <v>45716</v>
      </c>
      <c r="B141" s="4" t="s">
        <v>20</v>
      </c>
      <c r="E141" s="14" t="s">
        <v>40</v>
      </c>
      <c r="G141" s="14" t="s">
        <v>90</v>
      </c>
      <c r="I141" s="12" t="s">
        <v>7</v>
      </c>
      <c r="K141" s="5">
        <v>17213</v>
      </c>
      <c r="L141" s="5">
        <v>3099</v>
      </c>
    </row>
    <row r="142" spans="1:12" x14ac:dyDescent="0.4">
      <c r="A142" s="7">
        <v>45716</v>
      </c>
      <c r="B142" s="4" t="s">
        <v>20</v>
      </c>
      <c r="E142" s="14" t="s">
        <v>40</v>
      </c>
      <c r="G142" s="14" t="s">
        <v>90</v>
      </c>
      <c r="I142" s="12" t="s">
        <v>9</v>
      </c>
      <c r="K142" s="5">
        <v>10200</v>
      </c>
      <c r="L142" s="5">
        <v>5814</v>
      </c>
    </row>
    <row r="143" spans="1:12" x14ac:dyDescent="0.4">
      <c r="A143" s="7">
        <v>45716</v>
      </c>
      <c r="B143" s="4" t="s">
        <v>20</v>
      </c>
      <c r="E143" s="14" t="s">
        <v>40</v>
      </c>
      <c r="G143" s="14" t="s">
        <v>91</v>
      </c>
      <c r="I143" s="12" t="s">
        <v>11</v>
      </c>
      <c r="K143" s="5">
        <v>17850</v>
      </c>
      <c r="L143" s="5">
        <v>9460</v>
      </c>
    </row>
    <row r="144" spans="1:12" x14ac:dyDescent="0.4">
      <c r="A144" s="7">
        <v>45716</v>
      </c>
      <c r="B144" s="4" t="s">
        <v>20</v>
      </c>
      <c r="E144" s="14" t="s">
        <v>40</v>
      </c>
      <c r="G144" s="14" t="s">
        <v>91</v>
      </c>
      <c r="I144" s="12" t="s">
        <v>3</v>
      </c>
      <c r="K144" s="5">
        <v>65756</v>
      </c>
      <c r="L144" s="5">
        <v>32299</v>
      </c>
    </row>
    <row r="145" spans="1:12" x14ac:dyDescent="0.4">
      <c r="A145" s="7">
        <v>45716</v>
      </c>
      <c r="B145" s="4" t="s">
        <v>20</v>
      </c>
      <c r="E145" s="14" t="s">
        <v>41</v>
      </c>
      <c r="G145" s="14" t="s">
        <v>124</v>
      </c>
      <c r="I145" s="12" t="s">
        <v>3</v>
      </c>
      <c r="K145" s="5">
        <v>15656</v>
      </c>
      <c r="L145" s="5">
        <v>4070</v>
      </c>
    </row>
    <row r="146" spans="1:12" x14ac:dyDescent="0.4">
      <c r="A146" s="7">
        <v>45716</v>
      </c>
      <c r="B146" s="4" t="s">
        <v>20</v>
      </c>
      <c r="E146" s="14" t="s">
        <v>41</v>
      </c>
      <c r="G146" s="14" t="s">
        <v>124</v>
      </c>
      <c r="I146" s="12" t="s">
        <v>7</v>
      </c>
      <c r="K146" s="5">
        <v>69652</v>
      </c>
      <c r="L146" s="5">
        <v>34629</v>
      </c>
    </row>
    <row r="147" spans="1:12" x14ac:dyDescent="0.4">
      <c r="A147" s="7">
        <v>45716</v>
      </c>
      <c r="B147" s="4" t="s">
        <v>20</v>
      </c>
      <c r="E147" s="14" t="s">
        <v>41</v>
      </c>
      <c r="G147" s="14" t="s">
        <v>124</v>
      </c>
      <c r="I147" s="12" t="s">
        <v>9</v>
      </c>
      <c r="K147" s="5">
        <v>35250</v>
      </c>
      <c r="L147" s="5">
        <v>13516</v>
      </c>
    </row>
    <row r="148" spans="1:12" x14ac:dyDescent="0.4">
      <c r="A148" s="7">
        <v>45716</v>
      </c>
      <c r="B148" s="4" t="s">
        <v>20</v>
      </c>
      <c r="E148" s="14" t="s">
        <v>41</v>
      </c>
      <c r="G148" s="14" t="s">
        <v>92</v>
      </c>
      <c r="I148" s="12" t="s">
        <v>3</v>
      </c>
      <c r="K148" s="5">
        <v>47194</v>
      </c>
      <c r="L148" s="5">
        <v>28778</v>
      </c>
    </row>
    <row r="149" spans="1:12" x14ac:dyDescent="0.4">
      <c r="A149" s="7">
        <v>45716</v>
      </c>
      <c r="B149" s="4" t="s">
        <v>20</v>
      </c>
      <c r="E149" s="14" t="s">
        <v>41</v>
      </c>
      <c r="G149" s="14" t="s">
        <v>92</v>
      </c>
      <c r="I149" s="12" t="s">
        <v>8</v>
      </c>
      <c r="K149" s="5">
        <v>5738</v>
      </c>
      <c r="L149" s="5">
        <v>1951</v>
      </c>
    </row>
    <row r="150" spans="1:12" x14ac:dyDescent="0.4">
      <c r="A150" s="7">
        <v>45716</v>
      </c>
      <c r="B150" s="4" t="s">
        <v>20</v>
      </c>
      <c r="E150" s="14" t="s">
        <v>41</v>
      </c>
      <c r="G150" s="14" t="s">
        <v>92</v>
      </c>
      <c r="I150" s="12" t="s">
        <v>7</v>
      </c>
      <c r="K150" s="5">
        <v>21136</v>
      </c>
      <c r="L150" s="5">
        <v>8948</v>
      </c>
    </row>
    <row r="151" spans="1:12" x14ac:dyDescent="0.4">
      <c r="A151" s="7">
        <v>45716</v>
      </c>
      <c r="B151" s="4" t="s">
        <v>20</v>
      </c>
      <c r="E151" s="14" t="s">
        <v>41</v>
      </c>
      <c r="G151" s="14" t="s">
        <v>92</v>
      </c>
      <c r="I151" s="12" t="s">
        <v>9</v>
      </c>
      <c r="K151" s="5">
        <v>12525</v>
      </c>
      <c r="L151" s="5">
        <v>3131</v>
      </c>
    </row>
    <row r="152" spans="1:12" x14ac:dyDescent="0.4">
      <c r="A152" s="7">
        <v>45716</v>
      </c>
      <c r="B152" s="4" t="s">
        <v>20</v>
      </c>
      <c r="E152" s="14" t="s">
        <v>42</v>
      </c>
      <c r="G152" s="14" t="s">
        <v>93</v>
      </c>
      <c r="I152" s="12" t="s">
        <v>3</v>
      </c>
      <c r="K152" s="5">
        <v>14203</v>
      </c>
      <c r="L152" s="5">
        <v>4585</v>
      </c>
    </row>
    <row r="153" spans="1:12" x14ac:dyDescent="0.4">
      <c r="A153" s="7">
        <v>45716</v>
      </c>
      <c r="B153" s="4" t="s">
        <v>20</v>
      </c>
      <c r="E153" s="14" t="s">
        <v>42</v>
      </c>
      <c r="G153" s="14" t="s">
        <v>125</v>
      </c>
      <c r="I153" s="12" t="s">
        <v>7</v>
      </c>
      <c r="K153" s="5">
        <v>7045</v>
      </c>
      <c r="L153" s="5">
        <v>1620</v>
      </c>
    </row>
    <row r="154" spans="1:12" x14ac:dyDescent="0.4">
      <c r="A154" s="7">
        <v>45716</v>
      </c>
      <c r="B154" s="4" t="s">
        <v>19</v>
      </c>
      <c r="E154" s="14" t="s">
        <v>63</v>
      </c>
      <c r="G154" s="14" t="s">
        <v>131</v>
      </c>
      <c r="I154" s="12" t="s">
        <v>6</v>
      </c>
      <c r="K154" s="5">
        <v>45925</v>
      </c>
      <c r="L154" s="5">
        <v>15614</v>
      </c>
    </row>
    <row r="155" spans="1:12" x14ac:dyDescent="0.4">
      <c r="A155" s="7">
        <v>45716</v>
      </c>
      <c r="B155" s="4" t="s">
        <v>19</v>
      </c>
      <c r="E155" s="14" t="s">
        <v>63</v>
      </c>
      <c r="G155" s="14" t="s">
        <v>131</v>
      </c>
      <c r="I155" s="12" t="s">
        <v>3</v>
      </c>
      <c r="K155" s="5">
        <v>29747</v>
      </c>
      <c r="L155" s="5">
        <v>19038</v>
      </c>
    </row>
    <row r="156" spans="1:12" x14ac:dyDescent="0.4">
      <c r="A156" s="7">
        <v>45716</v>
      </c>
      <c r="B156" s="4" t="s">
        <v>19</v>
      </c>
      <c r="E156" s="14" t="s">
        <v>43</v>
      </c>
      <c r="G156" s="14" t="s">
        <v>94</v>
      </c>
      <c r="I156" s="12" t="s">
        <v>3</v>
      </c>
      <c r="K156" s="5">
        <v>36234</v>
      </c>
      <c r="L156" s="5">
        <v>15428</v>
      </c>
    </row>
    <row r="157" spans="1:12" x14ac:dyDescent="0.4">
      <c r="A157" s="7">
        <v>45716</v>
      </c>
      <c r="B157" s="4" t="s">
        <v>19</v>
      </c>
      <c r="E157" s="14" t="s">
        <v>43</v>
      </c>
      <c r="G157" s="14" t="s">
        <v>94</v>
      </c>
      <c r="I157" s="12" t="s">
        <v>8</v>
      </c>
      <c r="K157" s="5">
        <v>32611</v>
      </c>
      <c r="L157" s="5">
        <v>18962</v>
      </c>
    </row>
    <row r="158" spans="1:12" x14ac:dyDescent="0.4">
      <c r="A158" s="7">
        <v>45716</v>
      </c>
      <c r="B158" s="4" t="s">
        <v>19</v>
      </c>
      <c r="E158" s="14" t="s">
        <v>43</v>
      </c>
      <c r="G158" s="14" t="s">
        <v>94</v>
      </c>
      <c r="I158" s="12" t="s">
        <v>7</v>
      </c>
      <c r="K158" s="5">
        <v>18520</v>
      </c>
      <c r="L158" s="5">
        <v>13105</v>
      </c>
    </row>
    <row r="159" spans="1:12" x14ac:dyDescent="0.4">
      <c r="A159" s="7">
        <v>45716</v>
      </c>
      <c r="B159" s="4" t="s">
        <v>19</v>
      </c>
      <c r="E159" s="14" t="s">
        <v>43</v>
      </c>
      <c r="G159" s="14" t="s">
        <v>95</v>
      </c>
      <c r="I159" s="12" t="s">
        <v>5</v>
      </c>
      <c r="K159" s="5">
        <v>22100</v>
      </c>
      <c r="L159" s="5">
        <v>7293</v>
      </c>
    </row>
    <row r="160" spans="1:12" x14ac:dyDescent="0.4">
      <c r="A160" s="7">
        <v>45716</v>
      </c>
      <c r="B160" s="4" t="s">
        <v>19</v>
      </c>
      <c r="E160" s="14" t="s">
        <v>43</v>
      </c>
      <c r="G160" s="14" t="s">
        <v>95</v>
      </c>
      <c r="I160" s="12" t="s">
        <v>6</v>
      </c>
      <c r="K160" s="5">
        <v>80520</v>
      </c>
      <c r="L160" s="5">
        <v>34921</v>
      </c>
    </row>
    <row r="161" spans="1:12" x14ac:dyDescent="0.4">
      <c r="A161" s="7">
        <v>45716</v>
      </c>
      <c r="B161" s="4" t="s">
        <v>19</v>
      </c>
      <c r="E161" s="14" t="s">
        <v>43</v>
      </c>
      <c r="G161" s="14" t="s">
        <v>95</v>
      </c>
      <c r="I161" s="12" t="s">
        <v>7</v>
      </c>
      <c r="K161" s="5">
        <v>62404</v>
      </c>
      <c r="L161" s="5">
        <v>27482</v>
      </c>
    </row>
    <row r="162" spans="1:12" x14ac:dyDescent="0.4">
      <c r="A162" s="7">
        <v>45716</v>
      </c>
      <c r="B162" s="4" t="s">
        <v>19</v>
      </c>
      <c r="E162" s="14" t="s">
        <v>43</v>
      </c>
      <c r="G162" s="14" t="s">
        <v>95</v>
      </c>
      <c r="I162" s="12" t="s">
        <v>9</v>
      </c>
      <c r="K162" s="5">
        <v>6120</v>
      </c>
      <c r="L162" s="5">
        <v>2142</v>
      </c>
    </row>
    <row r="163" spans="1:12" x14ac:dyDescent="0.4">
      <c r="A163" s="7">
        <v>45716</v>
      </c>
      <c r="B163" s="4" t="s">
        <v>19</v>
      </c>
      <c r="E163" s="14" t="s">
        <v>44</v>
      </c>
      <c r="G163" s="14" t="s">
        <v>121</v>
      </c>
      <c r="I163" s="12" t="s">
        <v>7</v>
      </c>
      <c r="K163" s="5">
        <v>14091</v>
      </c>
      <c r="L163" s="5">
        <v>3100</v>
      </c>
    </row>
    <row r="164" spans="1:12" x14ac:dyDescent="0.4">
      <c r="A164" s="7">
        <v>45716</v>
      </c>
      <c r="B164" s="4" t="s">
        <v>19</v>
      </c>
      <c r="E164" s="14" t="s">
        <v>45</v>
      </c>
      <c r="G164" s="14" t="s">
        <v>96</v>
      </c>
      <c r="I164" s="12" t="s">
        <v>5</v>
      </c>
      <c r="K164" s="5">
        <v>17680</v>
      </c>
      <c r="L164" s="5">
        <v>11846</v>
      </c>
    </row>
    <row r="165" spans="1:12" x14ac:dyDescent="0.4">
      <c r="A165" s="7">
        <v>45716</v>
      </c>
      <c r="B165" s="4" t="s">
        <v>19</v>
      </c>
      <c r="E165" s="14" t="s">
        <v>45</v>
      </c>
      <c r="G165" s="14" t="s">
        <v>96</v>
      </c>
      <c r="I165" s="12" t="s">
        <v>11</v>
      </c>
      <c r="K165" s="5">
        <v>10959</v>
      </c>
      <c r="L165" s="5">
        <v>2191</v>
      </c>
    </row>
    <row r="166" spans="1:12" x14ac:dyDescent="0.4">
      <c r="A166" s="7">
        <v>45716</v>
      </c>
      <c r="B166" s="4" t="s">
        <v>19</v>
      </c>
      <c r="E166" s="14" t="s">
        <v>45</v>
      </c>
      <c r="G166" s="14" t="s">
        <v>96</v>
      </c>
      <c r="I166" s="12" t="s">
        <v>7</v>
      </c>
      <c r="K166" s="5">
        <v>40542</v>
      </c>
      <c r="L166" s="5">
        <v>22218</v>
      </c>
    </row>
    <row r="167" spans="1:12" x14ac:dyDescent="0.4">
      <c r="A167" s="7">
        <v>45716</v>
      </c>
      <c r="B167" s="4" t="s">
        <v>19</v>
      </c>
      <c r="E167" s="14" t="s">
        <v>45</v>
      </c>
      <c r="G167" s="14" t="s">
        <v>96</v>
      </c>
      <c r="I167" s="12" t="s">
        <v>9</v>
      </c>
      <c r="K167" s="5">
        <v>23655</v>
      </c>
      <c r="L167" s="5">
        <v>8705</v>
      </c>
    </row>
    <row r="168" spans="1:12" x14ac:dyDescent="0.4">
      <c r="A168" s="7">
        <v>45716</v>
      </c>
      <c r="B168" s="4" t="s">
        <v>19</v>
      </c>
      <c r="E168" s="14" t="s">
        <v>46</v>
      </c>
      <c r="G168" s="14" t="s">
        <v>97</v>
      </c>
      <c r="I168" s="12" t="s">
        <v>6</v>
      </c>
      <c r="K168" s="5">
        <v>6889</v>
      </c>
      <c r="L168" s="5">
        <v>2894</v>
      </c>
    </row>
    <row r="169" spans="1:12" x14ac:dyDescent="0.4">
      <c r="A169" s="7">
        <v>45716</v>
      </c>
      <c r="B169" s="4" t="s">
        <v>19</v>
      </c>
      <c r="E169" s="14" t="s">
        <v>46</v>
      </c>
      <c r="G169" s="14" t="s">
        <v>97</v>
      </c>
      <c r="I169" s="12" t="s">
        <v>7</v>
      </c>
      <c r="K169" s="5">
        <v>7045</v>
      </c>
      <c r="L169" s="5">
        <v>4861</v>
      </c>
    </row>
    <row r="170" spans="1:12" x14ac:dyDescent="0.4">
      <c r="A170" s="7">
        <v>45716</v>
      </c>
      <c r="B170" s="4" t="s">
        <v>19</v>
      </c>
      <c r="E170" s="14" t="s">
        <v>67</v>
      </c>
      <c r="G170" s="14" t="s">
        <v>132</v>
      </c>
      <c r="I170" s="12" t="s">
        <v>7</v>
      </c>
      <c r="K170" s="5">
        <v>5738</v>
      </c>
      <c r="L170" s="5">
        <v>2066</v>
      </c>
    </row>
    <row r="171" spans="1:12" x14ac:dyDescent="0.4">
      <c r="A171" s="7">
        <v>45716</v>
      </c>
      <c r="B171" s="4" t="s">
        <v>19</v>
      </c>
      <c r="E171" s="14" t="s">
        <v>47</v>
      </c>
      <c r="G171" s="14" t="s">
        <v>98</v>
      </c>
      <c r="I171" s="12" t="s">
        <v>6</v>
      </c>
      <c r="K171" s="5">
        <v>21684</v>
      </c>
      <c r="L171" s="5">
        <v>12099</v>
      </c>
    </row>
    <row r="172" spans="1:12" x14ac:dyDescent="0.4">
      <c r="A172" s="7">
        <v>45716</v>
      </c>
      <c r="B172" s="4" t="s">
        <v>19</v>
      </c>
      <c r="E172" s="14" t="s">
        <v>47</v>
      </c>
      <c r="G172" s="14" t="s">
        <v>98</v>
      </c>
      <c r="I172" s="12" t="s">
        <v>7</v>
      </c>
      <c r="K172" s="5">
        <v>18520</v>
      </c>
      <c r="L172" s="5">
        <v>9097</v>
      </c>
    </row>
    <row r="173" spans="1:12" x14ac:dyDescent="0.4">
      <c r="A173" s="7">
        <v>45716</v>
      </c>
      <c r="B173" s="4" t="s">
        <v>19</v>
      </c>
      <c r="E173" s="14" t="s">
        <v>47</v>
      </c>
      <c r="G173" s="14" t="s">
        <v>126</v>
      </c>
      <c r="I173" s="12" t="s">
        <v>7</v>
      </c>
      <c r="K173" s="5">
        <v>5738</v>
      </c>
      <c r="L173" s="5">
        <v>3213</v>
      </c>
    </row>
    <row r="174" spans="1:12" x14ac:dyDescent="0.4">
      <c r="A174" s="7">
        <v>45716</v>
      </c>
      <c r="B174" s="4" t="s">
        <v>19</v>
      </c>
      <c r="E174" s="14" t="s">
        <v>47</v>
      </c>
      <c r="G174" s="14" t="s">
        <v>99</v>
      </c>
      <c r="I174" s="12" t="s">
        <v>7</v>
      </c>
      <c r="K174" s="5">
        <v>7045</v>
      </c>
      <c r="L174" s="5">
        <v>3170</v>
      </c>
    </row>
    <row r="175" spans="1:12" x14ac:dyDescent="0.4">
      <c r="A175" s="7">
        <v>45716</v>
      </c>
      <c r="B175" s="4" t="s">
        <v>26</v>
      </c>
      <c r="E175" s="14" t="s">
        <v>48</v>
      </c>
      <c r="G175" s="14" t="s">
        <v>100</v>
      </c>
      <c r="I175" s="12" t="s">
        <v>5</v>
      </c>
      <c r="K175" s="5">
        <v>201208</v>
      </c>
      <c r="L175" s="5">
        <v>103000</v>
      </c>
    </row>
    <row r="176" spans="1:12" x14ac:dyDescent="0.4">
      <c r="A176" s="7">
        <v>45716</v>
      </c>
      <c r="B176" s="4" t="s">
        <v>26</v>
      </c>
      <c r="E176" s="14" t="s">
        <v>48</v>
      </c>
      <c r="G176" s="14" t="s">
        <v>101</v>
      </c>
      <c r="I176" s="12" t="s">
        <v>6</v>
      </c>
      <c r="K176" s="5">
        <v>28703</v>
      </c>
      <c r="L176" s="5">
        <v>16165</v>
      </c>
    </row>
    <row r="177" spans="1:12" x14ac:dyDescent="0.4">
      <c r="A177" s="7">
        <v>45716</v>
      </c>
      <c r="B177" s="4" t="s">
        <v>26</v>
      </c>
      <c r="E177" s="14" t="s">
        <v>48</v>
      </c>
      <c r="G177" s="14" t="s">
        <v>101</v>
      </c>
      <c r="I177" s="12" t="s">
        <v>3</v>
      </c>
      <c r="K177" s="5">
        <v>9394</v>
      </c>
      <c r="L177" s="5">
        <v>3664</v>
      </c>
    </row>
    <row r="178" spans="1:12" x14ac:dyDescent="0.4">
      <c r="A178" s="7">
        <v>45716</v>
      </c>
      <c r="B178" s="4" t="s">
        <v>26</v>
      </c>
      <c r="E178" s="14" t="s">
        <v>48</v>
      </c>
      <c r="G178" s="14" t="s">
        <v>101</v>
      </c>
      <c r="I178" s="12" t="s">
        <v>7</v>
      </c>
      <c r="K178" s="5">
        <v>8454</v>
      </c>
      <c r="L178" s="5">
        <v>6594</v>
      </c>
    </row>
    <row r="179" spans="1:12" x14ac:dyDescent="0.4">
      <c r="A179" s="7">
        <v>45716</v>
      </c>
      <c r="B179" s="4" t="s">
        <v>26</v>
      </c>
      <c r="E179" s="14" t="s">
        <v>48</v>
      </c>
      <c r="G179" s="14" t="s">
        <v>101</v>
      </c>
      <c r="I179" s="12" t="s">
        <v>9</v>
      </c>
      <c r="K179" s="5">
        <v>25050</v>
      </c>
      <c r="L179" s="5">
        <v>18161</v>
      </c>
    </row>
    <row r="180" spans="1:12" x14ac:dyDescent="0.4">
      <c r="A180" s="7">
        <v>45716</v>
      </c>
      <c r="B180" s="4" t="s">
        <v>26</v>
      </c>
      <c r="E180" s="14" t="s">
        <v>49</v>
      </c>
      <c r="G180" s="14" t="s">
        <v>102</v>
      </c>
      <c r="I180" s="12" t="s">
        <v>6</v>
      </c>
      <c r="K180" s="5">
        <v>27294</v>
      </c>
      <c r="L180" s="5">
        <v>12145</v>
      </c>
    </row>
    <row r="181" spans="1:12" x14ac:dyDescent="0.4">
      <c r="A181" s="7">
        <v>45716</v>
      </c>
      <c r="B181" s="4" t="s">
        <v>26</v>
      </c>
      <c r="E181" s="14" t="s">
        <v>49</v>
      </c>
      <c r="G181" s="14" t="s">
        <v>102</v>
      </c>
      <c r="I181" s="12" t="s">
        <v>3</v>
      </c>
      <c r="K181" s="5">
        <v>7650</v>
      </c>
      <c r="L181" s="5">
        <v>1606</v>
      </c>
    </row>
    <row r="182" spans="1:12" x14ac:dyDescent="0.4">
      <c r="A182" s="7">
        <v>45716</v>
      </c>
      <c r="B182" s="4" t="s">
        <v>26</v>
      </c>
      <c r="E182" s="14" t="s">
        <v>49</v>
      </c>
      <c r="G182" s="14" t="s">
        <v>102</v>
      </c>
      <c r="I182" s="12" t="s">
        <v>14</v>
      </c>
      <c r="K182" s="5">
        <v>63450</v>
      </c>
      <c r="L182" s="5">
        <v>29913</v>
      </c>
    </row>
    <row r="183" spans="1:12" x14ac:dyDescent="0.4">
      <c r="A183" s="7">
        <v>45716</v>
      </c>
      <c r="B183" s="4" t="s">
        <v>26</v>
      </c>
      <c r="E183" s="14" t="s">
        <v>49</v>
      </c>
      <c r="G183" s="14" t="s">
        <v>103</v>
      </c>
      <c r="I183" s="12" t="s">
        <v>3</v>
      </c>
      <c r="K183" s="5">
        <v>434138</v>
      </c>
      <c r="L183" s="5">
        <v>230930</v>
      </c>
    </row>
    <row r="184" spans="1:12" x14ac:dyDescent="0.4">
      <c r="A184" s="7">
        <v>45716</v>
      </c>
      <c r="B184" s="4" t="s">
        <v>23</v>
      </c>
      <c r="E184" s="14" t="s">
        <v>36</v>
      </c>
      <c r="G184" s="14" t="s">
        <v>87</v>
      </c>
      <c r="I184" s="12" t="s">
        <v>7</v>
      </c>
      <c r="K184" s="5">
        <v>12783</v>
      </c>
      <c r="L184" s="5">
        <v>6624</v>
      </c>
    </row>
    <row r="185" spans="1:12" x14ac:dyDescent="0.4">
      <c r="A185" s="7">
        <v>45716</v>
      </c>
      <c r="B185" s="4" t="s">
        <v>24</v>
      </c>
      <c r="E185" s="14" t="s">
        <v>50</v>
      </c>
      <c r="G185" s="14" t="s">
        <v>104</v>
      </c>
      <c r="I185" s="12" t="s">
        <v>6</v>
      </c>
      <c r="K185" s="5">
        <v>30443</v>
      </c>
      <c r="L185" s="5">
        <v>11619</v>
      </c>
    </row>
    <row r="186" spans="1:12" x14ac:dyDescent="0.4">
      <c r="A186" s="7">
        <v>45716</v>
      </c>
      <c r="B186" s="4" t="s">
        <v>24</v>
      </c>
      <c r="E186" s="14" t="s">
        <v>50</v>
      </c>
      <c r="G186" s="14" t="s">
        <v>104</v>
      </c>
      <c r="I186" s="12" t="s">
        <v>7</v>
      </c>
      <c r="K186" s="5">
        <v>95538</v>
      </c>
      <c r="L186" s="5">
        <v>44042</v>
      </c>
    </row>
    <row r="187" spans="1:12" x14ac:dyDescent="0.4">
      <c r="A187" s="7">
        <v>45716</v>
      </c>
      <c r="B187" s="4" t="s">
        <v>24</v>
      </c>
      <c r="E187" s="14" t="s">
        <v>50</v>
      </c>
      <c r="G187" s="14" t="s">
        <v>104</v>
      </c>
      <c r="I187" s="12" t="s">
        <v>9</v>
      </c>
      <c r="K187" s="5">
        <v>10200</v>
      </c>
      <c r="L187" s="5">
        <v>4794</v>
      </c>
    </row>
    <row r="188" spans="1:12" x14ac:dyDescent="0.4">
      <c r="A188" s="7">
        <v>45716</v>
      </c>
      <c r="B188" s="4" t="s">
        <v>21</v>
      </c>
      <c r="E188" s="14" t="s">
        <v>51</v>
      </c>
      <c r="G188" s="14" t="s">
        <v>106</v>
      </c>
      <c r="I188" s="12" t="s">
        <v>7</v>
      </c>
      <c r="K188" s="5">
        <v>12783</v>
      </c>
      <c r="L188" s="5">
        <v>7526</v>
      </c>
    </row>
    <row r="189" spans="1:12" x14ac:dyDescent="0.4">
      <c r="A189" s="7">
        <v>45716</v>
      </c>
      <c r="B189" s="4" t="s">
        <v>21</v>
      </c>
      <c r="E189" s="14" t="s">
        <v>52</v>
      </c>
      <c r="G189" s="14" t="s">
        <v>107</v>
      </c>
      <c r="I189" s="12" t="s">
        <v>7</v>
      </c>
      <c r="K189" s="5">
        <v>21136</v>
      </c>
      <c r="L189" s="5">
        <v>8454</v>
      </c>
    </row>
    <row r="190" spans="1:12" x14ac:dyDescent="0.4">
      <c r="A190" s="7">
        <v>45716</v>
      </c>
      <c r="B190" s="4" t="s">
        <v>21</v>
      </c>
      <c r="E190" s="14" t="s">
        <v>53</v>
      </c>
      <c r="G190" s="14" t="s">
        <v>108</v>
      </c>
      <c r="I190" s="12" t="s">
        <v>9</v>
      </c>
      <c r="K190" s="5">
        <v>7515</v>
      </c>
      <c r="L190" s="5">
        <v>6237</v>
      </c>
    </row>
    <row r="191" spans="1:12" x14ac:dyDescent="0.4">
      <c r="A191" s="7">
        <v>45716</v>
      </c>
      <c r="B191" s="4" t="s">
        <v>21</v>
      </c>
      <c r="E191" s="14" t="s">
        <v>53</v>
      </c>
      <c r="G191" s="14" t="s">
        <v>109</v>
      </c>
      <c r="I191" s="12" t="s">
        <v>3</v>
      </c>
      <c r="K191" s="5">
        <v>20466</v>
      </c>
      <c r="L191" s="5">
        <v>7398</v>
      </c>
    </row>
    <row r="192" spans="1:12" x14ac:dyDescent="0.4">
      <c r="A192" s="7">
        <v>45716</v>
      </c>
      <c r="B192" s="4" t="s">
        <v>21</v>
      </c>
      <c r="E192" s="14" t="s">
        <v>53</v>
      </c>
      <c r="G192" s="14" t="s">
        <v>109</v>
      </c>
      <c r="I192" s="12" t="s">
        <v>7</v>
      </c>
      <c r="K192" s="5">
        <v>43985</v>
      </c>
      <c r="L192" s="5">
        <v>17766</v>
      </c>
    </row>
    <row r="193" spans="1:12" x14ac:dyDescent="0.4">
      <c r="A193" s="7">
        <v>45716</v>
      </c>
      <c r="B193" s="4" t="s">
        <v>21</v>
      </c>
      <c r="E193" s="14" t="s">
        <v>53</v>
      </c>
      <c r="G193" s="14" t="s">
        <v>109</v>
      </c>
      <c r="I193" s="12" t="s">
        <v>9</v>
      </c>
      <c r="K193" s="5">
        <v>11273</v>
      </c>
      <c r="L193" s="5">
        <v>4171</v>
      </c>
    </row>
    <row r="194" spans="1:12" x14ac:dyDescent="0.4">
      <c r="A194" s="7">
        <v>45716</v>
      </c>
      <c r="B194" s="4" t="s">
        <v>21</v>
      </c>
      <c r="E194" s="14" t="s">
        <v>53</v>
      </c>
      <c r="G194" s="14" t="s">
        <v>110</v>
      </c>
      <c r="I194" s="12" t="s">
        <v>7</v>
      </c>
      <c r="K194" s="5">
        <v>98634</v>
      </c>
      <c r="L194" s="5">
        <v>54953</v>
      </c>
    </row>
    <row r="195" spans="1:12" x14ac:dyDescent="0.4">
      <c r="A195" s="7">
        <v>45716</v>
      </c>
      <c r="B195" s="4" t="s">
        <v>21</v>
      </c>
      <c r="E195" s="14" t="s">
        <v>53</v>
      </c>
      <c r="G195" s="14" t="s">
        <v>110</v>
      </c>
      <c r="I195" s="12" t="s">
        <v>9</v>
      </c>
      <c r="K195" s="5">
        <v>45450</v>
      </c>
      <c r="L195" s="5">
        <v>23905</v>
      </c>
    </row>
    <row r="196" spans="1:12" x14ac:dyDescent="0.4">
      <c r="A196" s="7">
        <v>45716</v>
      </c>
      <c r="B196" s="4" t="s">
        <v>25</v>
      </c>
      <c r="E196" s="14" t="s">
        <v>64</v>
      </c>
      <c r="G196" s="14" t="s">
        <v>120</v>
      </c>
      <c r="I196" s="12" t="s">
        <v>7</v>
      </c>
      <c r="K196" s="5">
        <v>8033</v>
      </c>
      <c r="L196" s="5">
        <v>3856</v>
      </c>
    </row>
    <row r="197" spans="1:12" x14ac:dyDescent="0.4">
      <c r="A197" s="7">
        <v>45716</v>
      </c>
      <c r="B197" s="4" t="s">
        <v>25</v>
      </c>
      <c r="E197" s="14" t="s">
        <v>64</v>
      </c>
      <c r="G197" s="14" t="s">
        <v>120</v>
      </c>
      <c r="I197" s="12" t="s">
        <v>9</v>
      </c>
      <c r="K197" s="5">
        <v>22725</v>
      </c>
      <c r="L197" s="5">
        <v>7245</v>
      </c>
    </row>
    <row r="198" spans="1:12" x14ac:dyDescent="0.4">
      <c r="A198" s="7">
        <v>45716</v>
      </c>
      <c r="B198" s="4" t="s">
        <v>25</v>
      </c>
      <c r="E198" s="14" t="s">
        <v>54</v>
      </c>
      <c r="G198" s="14" t="s">
        <v>111</v>
      </c>
      <c r="I198" s="12" t="s">
        <v>6</v>
      </c>
      <c r="K198" s="5">
        <v>9350</v>
      </c>
      <c r="L198" s="5">
        <v>1776</v>
      </c>
    </row>
    <row r="199" spans="1:12" x14ac:dyDescent="0.4">
      <c r="A199" s="7">
        <v>45716</v>
      </c>
      <c r="B199" s="4" t="s">
        <v>25</v>
      </c>
      <c r="E199" s="14" t="s">
        <v>54</v>
      </c>
      <c r="G199" s="14" t="s">
        <v>111</v>
      </c>
      <c r="I199" s="12" t="s">
        <v>7</v>
      </c>
      <c r="K199" s="5">
        <v>24258</v>
      </c>
      <c r="L199" s="5">
        <v>12976</v>
      </c>
    </row>
    <row r="200" spans="1:12" x14ac:dyDescent="0.4">
      <c r="A200" s="7">
        <v>45716</v>
      </c>
      <c r="B200" s="4" t="s">
        <v>25</v>
      </c>
      <c r="E200" s="14" t="s">
        <v>54</v>
      </c>
      <c r="G200" s="14" t="s">
        <v>111</v>
      </c>
      <c r="I200" s="12" t="s">
        <v>9</v>
      </c>
      <c r="K200" s="5">
        <v>12525</v>
      </c>
      <c r="L200" s="5">
        <v>2129</v>
      </c>
    </row>
    <row r="201" spans="1:12" x14ac:dyDescent="0.4">
      <c r="A201" s="7">
        <v>45716</v>
      </c>
      <c r="B201" s="4" t="s">
        <v>25</v>
      </c>
      <c r="E201" s="14" t="s">
        <v>55</v>
      </c>
      <c r="G201" s="14" t="s">
        <v>112</v>
      </c>
      <c r="I201" s="12" t="s">
        <v>8</v>
      </c>
      <c r="K201" s="5">
        <v>159612</v>
      </c>
      <c r="L201" s="5">
        <v>76688</v>
      </c>
    </row>
    <row r="202" spans="1:12" x14ac:dyDescent="0.4">
      <c r="A202" s="7">
        <v>45716</v>
      </c>
      <c r="B202" s="4" t="s">
        <v>25</v>
      </c>
      <c r="E202" s="14" t="s">
        <v>55</v>
      </c>
      <c r="G202" s="14" t="s">
        <v>112</v>
      </c>
      <c r="I202" s="12" t="s">
        <v>7</v>
      </c>
      <c r="K202" s="5">
        <v>25566</v>
      </c>
      <c r="L202" s="5">
        <v>14291</v>
      </c>
    </row>
    <row r="203" spans="1:12" x14ac:dyDescent="0.4">
      <c r="A203" s="7">
        <v>45716</v>
      </c>
      <c r="B203" s="4" t="s">
        <v>25</v>
      </c>
      <c r="E203" s="14" t="s">
        <v>55</v>
      </c>
      <c r="G203" s="14" t="s">
        <v>112</v>
      </c>
      <c r="I203" s="12" t="s">
        <v>10</v>
      </c>
      <c r="K203" s="5">
        <v>86188</v>
      </c>
      <c r="L203" s="5">
        <v>46630</v>
      </c>
    </row>
    <row r="204" spans="1:12" x14ac:dyDescent="0.4">
      <c r="A204" s="7">
        <v>45716</v>
      </c>
      <c r="B204" s="4" t="s">
        <v>25</v>
      </c>
      <c r="E204" s="14" t="s">
        <v>56</v>
      </c>
      <c r="G204" s="14" t="s">
        <v>113</v>
      </c>
      <c r="I204" s="12" t="s">
        <v>3</v>
      </c>
      <c r="K204" s="5">
        <v>163500</v>
      </c>
      <c r="L204" s="5">
        <v>65380</v>
      </c>
    </row>
    <row r="205" spans="1:12" x14ac:dyDescent="0.4">
      <c r="A205" s="7">
        <v>45716</v>
      </c>
      <c r="B205" s="4" t="s">
        <v>25</v>
      </c>
      <c r="E205" s="14" t="s">
        <v>56</v>
      </c>
      <c r="G205" s="14" t="s">
        <v>113</v>
      </c>
      <c r="I205" s="12" t="s">
        <v>16</v>
      </c>
      <c r="K205" s="5">
        <v>28560</v>
      </c>
      <c r="L205" s="5">
        <v>20278</v>
      </c>
    </row>
    <row r="206" spans="1:12" x14ac:dyDescent="0.4">
      <c r="A206" s="7">
        <v>45716</v>
      </c>
      <c r="B206" s="4" t="s">
        <v>25</v>
      </c>
      <c r="E206" s="14" t="s">
        <v>56</v>
      </c>
      <c r="G206" s="14" t="s">
        <v>113</v>
      </c>
      <c r="I206" s="12" t="s">
        <v>15</v>
      </c>
      <c r="K206" s="5">
        <v>6889</v>
      </c>
      <c r="L206" s="5">
        <v>4960</v>
      </c>
    </row>
    <row r="207" spans="1:12" x14ac:dyDescent="0.4">
      <c r="A207" s="7">
        <v>45716</v>
      </c>
      <c r="B207" s="4" t="s">
        <v>26</v>
      </c>
      <c r="E207" s="14" t="s">
        <v>57</v>
      </c>
      <c r="G207" s="14" t="s">
        <v>114</v>
      </c>
      <c r="I207" s="12" t="s">
        <v>5</v>
      </c>
      <c r="K207" s="5">
        <v>16283</v>
      </c>
      <c r="L207" s="5">
        <v>10747</v>
      </c>
    </row>
    <row r="208" spans="1:12" x14ac:dyDescent="0.4">
      <c r="A208" s="7">
        <v>45716</v>
      </c>
      <c r="B208" s="4" t="s">
        <v>26</v>
      </c>
      <c r="E208" s="14" t="s">
        <v>57</v>
      </c>
      <c r="G208" s="14" t="s">
        <v>114</v>
      </c>
      <c r="I208" s="12" t="s">
        <v>6</v>
      </c>
      <c r="K208" s="5">
        <v>6889</v>
      </c>
      <c r="L208" s="5">
        <v>4822</v>
      </c>
    </row>
    <row r="209" spans="1:12" x14ac:dyDescent="0.4">
      <c r="A209" s="7">
        <v>45716</v>
      </c>
      <c r="B209" s="4" t="s">
        <v>26</v>
      </c>
      <c r="E209" s="14" t="s">
        <v>57</v>
      </c>
      <c r="G209" s="14" t="s">
        <v>114</v>
      </c>
      <c r="I209" s="12" t="s">
        <v>3</v>
      </c>
      <c r="K209" s="5">
        <v>15656</v>
      </c>
      <c r="L209" s="5">
        <v>7593</v>
      </c>
    </row>
    <row r="210" spans="1:12" x14ac:dyDescent="0.4">
      <c r="A210" s="7">
        <v>45716</v>
      </c>
      <c r="B210" s="4" t="s">
        <v>26</v>
      </c>
      <c r="E210" s="14" t="s">
        <v>57</v>
      </c>
      <c r="G210" s="14" t="s">
        <v>114</v>
      </c>
      <c r="I210" s="12" t="s">
        <v>7</v>
      </c>
      <c r="K210" s="5">
        <v>19828</v>
      </c>
      <c r="L210" s="5">
        <v>10472</v>
      </c>
    </row>
    <row r="211" spans="1:12" x14ac:dyDescent="0.4">
      <c r="A211" s="7">
        <v>45716</v>
      </c>
      <c r="B211" s="4" t="s">
        <v>26</v>
      </c>
      <c r="E211" s="14" t="s">
        <v>57</v>
      </c>
      <c r="G211" s="14" t="s">
        <v>114</v>
      </c>
      <c r="I211" s="12" t="s">
        <v>9</v>
      </c>
      <c r="K211" s="5">
        <v>22725</v>
      </c>
      <c r="L211" s="5">
        <v>10380</v>
      </c>
    </row>
    <row r="212" spans="1:12" x14ac:dyDescent="0.4">
      <c r="A212" s="7">
        <v>45716</v>
      </c>
      <c r="B212" s="4" t="s">
        <v>19</v>
      </c>
      <c r="E212" s="14" t="s">
        <v>58</v>
      </c>
      <c r="G212" s="14" t="s">
        <v>115</v>
      </c>
      <c r="I212" s="12" t="s">
        <v>7</v>
      </c>
      <c r="K212" s="5">
        <v>14091</v>
      </c>
      <c r="L212" s="5">
        <v>6764</v>
      </c>
    </row>
    <row r="213" spans="1:12" x14ac:dyDescent="0.4">
      <c r="A213" s="7">
        <v>45716</v>
      </c>
      <c r="B213" s="4" t="s">
        <v>19</v>
      </c>
      <c r="E213" s="14" t="s">
        <v>58</v>
      </c>
      <c r="G213" s="14" t="s">
        <v>115</v>
      </c>
      <c r="I213" s="12" t="s">
        <v>9</v>
      </c>
      <c r="K213" s="5">
        <v>12525</v>
      </c>
      <c r="L213" s="5">
        <v>5511</v>
      </c>
    </row>
    <row r="214" spans="1:12" x14ac:dyDescent="0.4">
      <c r="A214" s="7">
        <v>45716</v>
      </c>
      <c r="B214" s="4" t="s">
        <v>19</v>
      </c>
      <c r="E214" s="14" t="s">
        <v>59</v>
      </c>
      <c r="G214" s="14" t="s">
        <v>116</v>
      </c>
      <c r="I214" s="12" t="s">
        <v>6</v>
      </c>
      <c r="K214" s="5">
        <v>62068</v>
      </c>
      <c r="L214" s="5">
        <v>28940</v>
      </c>
    </row>
    <row r="215" spans="1:12" x14ac:dyDescent="0.4">
      <c r="A215" s="7">
        <v>45716</v>
      </c>
      <c r="B215" s="4" t="s">
        <v>19</v>
      </c>
      <c r="E215" s="14" t="s">
        <v>59</v>
      </c>
      <c r="G215" s="14" t="s">
        <v>116</v>
      </c>
      <c r="I215" s="12" t="s">
        <v>10</v>
      </c>
      <c r="K215" s="5">
        <v>52563</v>
      </c>
      <c r="L215" s="5">
        <v>30028</v>
      </c>
    </row>
    <row r="216" spans="1:12" x14ac:dyDescent="0.4">
      <c r="A216" s="7">
        <v>45716</v>
      </c>
      <c r="B216" s="4" t="s">
        <v>19</v>
      </c>
      <c r="E216" s="14" t="s">
        <v>59</v>
      </c>
      <c r="G216" s="14" t="s">
        <v>116</v>
      </c>
      <c r="I216" s="12" t="s">
        <v>9</v>
      </c>
      <c r="K216" s="5">
        <v>15030</v>
      </c>
      <c r="L216" s="5">
        <v>8041</v>
      </c>
    </row>
    <row r="217" spans="1:12" x14ac:dyDescent="0.4">
      <c r="A217" s="7">
        <v>45716</v>
      </c>
      <c r="B217" s="4" t="s">
        <v>19</v>
      </c>
      <c r="E217" s="14" t="s">
        <v>60</v>
      </c>
      <c r="G217" s="14" t="s">
        <v>117</v>
      </c>
      <c r="I217" s="12" t="s">
        <v>5</v>
      </c>
      <c r="K217" s="5">
        <v>27138</v>
      </c>
      <c r="L217" s="5">
        <v>7328</v>
      </c>
    </row>
    <row r="218" spans="1:12" x14ac:dyDescent="0.4">
      <c r="A218" s="7">
        <v>45716</v>
      </c>
      <c r="B218" s="4" t="s">
        <v>19</v>
      </c>
      <c r="E218" s="14" t="s">
        <v>60</v>
      </c>
      <c r="G218" s="14" t="s">
        <v>117</v>
      </c>
      <c r="I218" s="12" t="s">
        <v>6</v>
      </c>
      <c r="K218" s="5">
        <v>37496</v>
      </c>
      <c r="L218" s="5">
        <v>15820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2026-10-29T15:39:21Z</dcterms:modified>
</cp:coreProperties>
</file>